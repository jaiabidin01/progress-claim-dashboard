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a\SMD\HTML Progress Claim\data\"/>
    </mc:Choice>
  </mc:AlternateContent>
  <xr:revisionPtr revIDLastSave="0" documentId="13_ncr:9_{E09C06FB-71B5-4A37-A26A-0BF7AE907DC7}" xr6:coauthVersionLast="47" xr6:coauthVersionMax="47" xr10:uidLastSave="{00000000-0000-0000-0000-000000000000}"/>
  <bookViews>
    <workbookView xWindow="-108" yWindow="-108" windowWidth="23256" windowHeight="12456" activeTab="5" xr2:uid="{AEA3FFF2-3A40-48C5-9017-190516B3C878}"/>
  </bookViews>
  <sheets>
    <sheet name="Sheet5" sheetId="7" r:id="rId1"/>
    <sheet name="column_progress" sheetId="1" r:id="rId2"/>
    <sheet name="pivot" sheetId="4" r:id="rId3"/>
    <sheet name="Column_Summary" sheetId="2" r:id="rId4"/>
    <sheet name="Pivot_SOW" sheetId="6" r:id="rId5"/>
    <sheet name="Sheet6" sheetId="8" r:id="rId6"/>
  </sheets>
  <calcPr calcId="0"/>
  <pivotCaches>
    <pivotCache cacheId="18" r:id="rId7"/>
    <pivotCache cacheId="17" r:id="rId8"/>
  </pivotCaches>
</workbook>
</file>

<file path=xl/calcChain.xml><?xml version="1.0" encoding="utf-8"?>
<calcChain xmlns="http://schemas.openxmlformats.org/spreadsheetml/2006/main">
  <c r="F5" i="8" l="1"/>
  <c r="E5" i="8"/>
  <c r="F4" i="8"/>
  <c r="E4" i="8"/>
  <c r="F3" i="8"/>
  <c r="E3" i="8"/>
  <c r="F2" i="8"/>
  <c r="E2" i="8"/>
  <c r="E12" i="2"/>
  <c r="F12" i="2"/>
  <c r="D12" i="2"/>
  <c r="E11" i="2"/>
  <c r="F11" i="2"/>
  <c r="D11" i="2"/>
  <c r="F10" i="2"/>
  <c r="G10" i="2"/>
  <c r="H10" i="2"/>
  <c r="D10" i="2"/>
  <c r="E10" i="2"/>
  <c r="F5" i="2"/>
  <c r="E5" i="2"/>
  <c r="E5" i="6"/>
  <c r="F5" i="6"/>
  <c r="F6" i="6"/>
  <c r="F7" i="6"/>
  <c r="F4" i="6"/>
  <c r="E6" i="6"/>
  <c r="E7" i="6"/>
  <c r="E4" i="6"/>
  <c r="H3" i="2"/>
  <c r="H4" i="2"/>
  <c r="H6" i="2"/>
  <c r="H7" i="2"/>
  <c r="G3" i="2"/>
  <c r="G4" i="2"/>
  <c r="G6" i="2"/>
  <c r="G7" i="2"/>
  <c r="F2" i="2"/>
  <c r="H2" i="2" s="1"/>
  <c r="E2" i="2"/>
  <c r="G2" i="2" s="1"/>
  <c r="H5" i="2"/>
  <c r="G5" i="2"/>
  <c r="F8" i="2"/>
  <c r="H8" i="2" s="1"/>
  <c r="E8" i="2"/>
  <c r="G8" i="2" s="1"/>
  <c r="D3" i="2"/>
  <c r="D4" i="2"/>
  <c r="D5" i="2"/>
  <c r="D8" i="2"/>
  <c r="D2" i="2"/>
</calcChain>
</file>

<file path=xl/sharedStrings.xml><?xml version="1.0" encoding="utf-8"?>
<sst xmlns="http://schemas.openxmlformats.org/spreadsheetml/2006/main" count="3480" uniqueCount="677">
  <si>
    <t>Full_ID</t>
  </si>
  <si>
    <t>Tower</t>
  </si>
  <si>
    <t>Level</t>
  </si>
  <si>
    <t>Zone</t>
  </si>
  <si>
    <t>SOW</t>
  </si>
  <si>
    <t>Column_ID</t>
  </si>
  <si>
    <t>fwk_pc13</t>
  </si>
  <si>
    <t>rebar_pc13</t>
  </si>
  <si>
    <t>concrete_pc13</t>
  </si>
  <si>
    <t>Category</t>
  </si>
  <si>
    <t>fwk_pc14</t>
  </si>
  <si>
    <t>rebar_pc14</t>
  </si>
  <si>
    <t>concrete_pc14</t>
  </si>
  <si>
    <t>T3-L4-Z17_MC-C1</t>
  </si>
  <si>
    <t>T3</t>
  </si>
  <si>
    <t>L4</t>
  </si>
  <si>
    <t>Z17_MC</t>
  </si>
  <si>
    <t>C1</t>
  </si>
  <si>
    <t>MC</t>
  </si>
  <si>
    <t>T3-L4-Z17_MC-C2</t>
  </si>
  <si>
    <t>C2</t>
  </si>
  <si>
    <t>T3-L4-Z17_MC-C3</t>
  </si>
  <si>
    <t>C3</t>
  </si>
  <si>
    <t>T3-L4-Z17_MC-C4</t>
  </si>
  <si>
    <t>C4</t>
  </si>
  <si>
    <t>T3-L4-Z17_MC-C5</t>
  </si>
  <si>
    <t>C5</t>
  </si>
  <si>
    <t>T3-L4-Z17_MC-C6</t>
  </si>
  <si>
    <t>C6</t>
  </si>
  <si>
    <t>T3-L4-Z17_MC-C7</t>
  </si>
  <si>
    <t>C7</t>
  </si>
  <si>
    <t>T3-L4-Z17_MC-C8</t>
  </si>
  <si>
    <t>C8</t>
  </si>
  <si>
    <t>T3-L4-Z17_MC-C9</t>
  </si>
  <si>
    <t>C9</t>
  </si>
  <si>
    <t>T3-L4-Z17_MC-C10</t>
  </si>
  <si>
    <t>C10</t>
  </si>
  <si>
    <t>T3-L4-Z17_MC-C11</t>
  </si>
  <si>
    <t>C11</t>
  </si>
  <si>
    <t>T3-L4-Z17_MC-C12</t>
  </si>
  <si>
    <t>C12</t>
  </si>
  <si>
    <t>T3-L3-Z10-C1</t>
  </si>
  <si>
    <t>L3</t>
  </si>
  <si>
    <t>Z10</t>
  </si>
  <si>
    <t>Column</t>
  </si>
  <si>
    <t>T3-L3-Z10-C2</t>
  </si>
  <si>
    <t>T3-L3-Z10-C3</t>
  </si>
  <si>
    <t>T3-L3-Z10-C4</t>
  </si>
  <si>
    <t>T3-L3-Z10-C5</t>
  </si>
  <si>
    <t>T3-L3-Z10-C6</t>
  </si>
  <si>
    <t>T3-L3-Z11-C1</t>
  </si>
  <si>
    <t>Z11</t>
  </si>
  <si>
    <t>T3-L3-Z11-C2</t>
  </si>
  <si>
    <t>T3-L3-Z11-C3</t>
  </si>
  <si>
    <t>T3-L3-Z11-C4</t>
  </si>
  <si>
    <t>T3-L3-Z11-C5</t>
  </si>
  <si>
    <t>T3-L3-Z11-C6</t>
  </si>
  <si>
    <t>T3-L3-Z11-C7</t>
  </si>
  <si>
    <t>T3-L3-Z11-C8</t>
  </si>
  <si>
    <t>T3-L3-Z11-C9</t>
  </si>
  <si>
    <t>T3-L3-Z11-C10</t>
  </si>
  <si>
    <t>T3-L3-Z11-C11</t>
  </si>
  <si>
    <t>T3-L3-Z11-C12</t>
  </si>
  <si>
    <t>T3-L3-Z11-C13</t>
  </si>
  <si>
    <t>C13</t>
  </si>
  <si>
    <t>T3-L3-Z11-C14</t>
  </si>
  <si>
    <t>C14</t>
  </si>
  <si>
    <t>T3-L3-Z11-C15</t>
  </si>
  <si>
    <t>C15</t>
  </si>
  <si>
    <t>T3-L3-Z11-C16</t>
  </si>
  <si>
    <t>C16</t>
  </si>
  <si>
    <t>T3-L3-Z11-C17</t>
  </si>
  <si>
    <t>C17</t>
  </si>
  <si>
    <t>T3-L3-Z11-C18</t>
  </si>
  <si>
    <t>C18</t>
  </si>
  <si>
    <t>T3-L3-Z11-C19</t>
  </si>
  <si>
    <t>C19</t>
  </si>
  <si>
    <t>T3-L3-Z11-C20</t>
  </si>
  <si>
    <t>C20</t>
  </si>
  <si>
    <t>T3-L3-Z11-C21</t>
  </si>
  <si>
    <t>C21</t>
  </si>
  <si>
    <t>T3-L3-Z11-C22</t>
  </si>
  <si>
    <t>C22</t>
  </si>
  <si>
    <t>T3-L3-Z11-C23</t>
  </si>
  <si>
    <t>C23</t>
  </si>
  <si>
    <t>T3-L3-Z12-C1</t>
  </si>
  <si>
    <t>Z12</t>
  </si>
  <si>
    <t>T3-L3-Z12-C2</t>
  </si>
  <si>
    <t>T3-L3-Z12-C3</t>
  </si>
  <si>
    <t>T3-L3-Z12-C4</t>
  </si>
  <si>
    <t>T3-L3-Z12-C5</t>
  </si>
  <si>
    <t>T3-L3-Z12-C6</t>
  </si>
  <si>
    <t>T3-L3-Z12-C7</t>
  </si>
  <si>
    <t>T3-L3-Z12-C8</t>
  </si>
  <si>
    <t>T3-L3-Z12-C9</t>
  </si>
  <si>
    <t>T3-L3-Z12-C10</t>
  </si>
  <si>
    <t>T3-L3-Z12-C11</t>
  </si>
  <si>
    <t>T3-L3-Z12-C12</t>
  </si>
  <si>
    <t>T3-L3-Z14-C1</t>
  </si>
  <si>
    <t>Z14</t>
  </si>
  <si>
    <t>T3-L3-Z14-C2</t>
  </si>
  <si>
    <t>T3-L3-Z14-C3</t>
  </si>
  <si>
    <t>T3-L3-Z14-C4</t>
  </si>
  <si>
    <t>T3-L3-Z14-C5</t>
  </si>
  <si>
    <t>T3-L3-Z14-C6</t>
  </si>
  <si>
    <t>T3-L3-Z14-C7</t>
  </si>
  <si>
    <t>T3-L3-Z14-C8</t>
  </si>
  <si>
    <t>T3-L3-Z14-C9</t>
  </si>
  <si>
    <t>T3-L3-Z14-C10</t>
  </si>
  <si>
    <t>T3-L3-Z14-C11</t>
  </si>
  <si>
    <t>T3-L3-Z14-C12</t>
  </si>
  <si>
    <t>T3-L4-Z15_MC-C1</t>
  </si>
  <si>
    <t>Z15_MC</t>
  </si>
  <si>
    <t>T3-L4-Z15_MC-C2</t>
  </si>
  <si>
    <t>T3-L4-Z15_MC-C3</t>
  </si>
  <si>
    <t>T3-L4-Z15_MC-C4</t>
  </si>
  <si>
    <t>T3-L4-Z15_MC-C5</t>
  </si>
  <si>
    <t>T3-L4-Z15_MC-C6</t>
  </si>
  <si>
    <t>T3-L4-Z16_MC-C1</t>
  </si>
  <si>
    <t>Z16_MC</t>
  </si>
  <si>
    <t>T3-L4-Z16_MC-C2</t>
  </si>
  <si>
    <t>T3-L4-Z16_MC-C3</t>
  </si>
  <si>
    <t>T3-L4-Z16_MC-C4</t>
  </si>
  <si>
    <t>T3-L4-Z16_MC-C5</t>
  </si>
  <si>
    <t>T3-L4-Z16_MC-C6</t>
  </si>
  <si>
    <t>T3-L4-Z16_MC-C7</t>
  </si>
  <si>
    <t>T3-L4-Z16_MC-C8</t>
  </si>
  <si>
    <t>T3-L4-Z16_MC-C9</t>
  </si>
  <si>
    <t>T3-L4-Z16_MC-C10</t>
  </si>
  <si>
    <t>T3-L4-Z16_MC-C11</t>
  </si>
  <si>
    <t>T3-L4-Z16_MC-C12</t>
  </si>
  <si>
    <t>T3-L4-Z16_MC-C13</t>
  </si>
  <si>
    <t>T3-L4-Z16_MC-C14</t>
  </si>
  <si>
    <t>T3-L4-Z16_MC-C15</t>
  </si>
  <si>
    <t>T3-L4-Z16_MC-C16</t>
  </si>
  <si>
    <t>T3-L4-Z16_MC-C17</t>
  </si>
  <si>
    <t>T3-L4-Z16_MC-C18</t>
  </si>
  <si>
    <t>T3-L4-Z16_MC-C19</t>
  </si>
  <si>
    <t>T3-L4-Z16_MC-C20</t>
  </si>
  <si>
    <t>T3-L4-Z16_MC-C21</t>
  </si>
  <si>
    <t>T3-L4-Z16_MC-C22</t>
  </si>
  <si>
    <t>T3-L4-Z16_MC-C23</t>
  </si>
  <si>
    <t>T3-L4-Z19_MC-C1</t>
  </si>
  <si>
    <t>Z19_MC</t>
  </si>
  <si>
    <t>T3-L4-Z19_MC-C2</t>
  </si>
  <si>
    <t>T3-L4-Z19_MC-C3</t>
  </si>
  <si>
    <t>T3-L4-Z19_MC-C4</t>
  </si>
  <si>
    <t>T3-L4-Z19_MC-C5</t>
  </si>
  <si>
    <t>T3-L4-Z19_MC-C6</t>
  </si>
  <si>
    <t>T3-L4-Z19_MC-C7</t>
  </si>
  <si>
    <t>T3-L4-Z19_MC-C8</t>
  </si>
  <si>
    <t>T3-L4-Z19_MC-C9</t>
  </si>
  <si>
    <t>T3-L4-Z19_MC-C10</t>
  </si>
  <si>
    <t>T3-L4-Z19_MC-C11</t>
  </si>
  <si>
    <t>T3-L4-Z19_MC-C12</t>
  </si>
  <si>
    <t>T3-L4-Polyesterene-C1</t>
  </si>
  <si>
    <t>Polyesterene</t>
  </si>
  <si>
    <t>Poly</t>
  </si>
  <si>
    <t>T3-L4-Polyesterene-C2</t>
  </si>
  <si>
    <t>T3-L4-Polyesterene-C3</t>
  </si>
  <si>
    <t>T3-L4-Polyesterene-C4</t>
  </si>
  <si>
    <t>T3-L4-Polyesterene-C5</t>
  </si>
  <si>
    <t>T3-L4-Polyesterene-C6</t>
  </si>
  <si>
    <t>T3-L4-Polyesterene-C7</t>
  </si>
  <si>
    <t>T3-L4-Polyesterene-C8</t>
  </si>
  <si>
    <t>T3-L4-Polyesterene-C9</t>
  </si>
  <si>
    <t>T3-L4-Polyesterene-C10</t>
  </si>
  <si>
    <t>T3-L4-Polyesterene-C11</t>
  </si>
  <si>
    <t>T3-L4-Polyesterene-C12</t>
  </si>
  <si>
    <t>T3-L4-Polyesterene-C13</t>
  </si>
  <si>
    <t>T3-L4-Polyesterene-C14</t>
  </si>
  <si>
    <t>T3-L4-Polyesterene-C15</t>
  </si>
  <si>
    <t>T3-L4-Polyesterene-C16</t>
  </si>
  <si>
    <t>T3-L4-Polyesterene-C17</t>
  </si>
  <si>
    <t>T3-L4-Polyesterene-C18</t>
  </si>
  <si>
    <t>T3-L4-Polyesterene-C19</t>
  </si>
  <si>
    <t>T3-L4-Polyesterene-C20</t>
  </si>
  <si>
    <t>T3-L4-Polyesterene-C21</t>
  </si>
  <si>
    <t>T3-L4-Polyesterene-C22</t>
  </si>
  <si>
    <t>T3-L4-Polyesterene-C23</t>
  </si>
  <si>
    <t>T3-L4-Polyesterene-C24</t>
  </si>
  <si>
    <t>C24</t>
  </si>
  <si>
    <t>T3-L4-Polyesterene-C25</t>
  </si>
  <si>
    <t>C25</t>
  </si>
  <si>
    <t>T3-L4-Polyesterene-C26</t>
  </si>
  <si>
    <t>C26</t>
  </si>
  <si>
    <t>T3-L4-Polyesterene-C27</t>
  </si>
  <si>
    <t>C27</t>
  </si>
  <si>
    <t>T3-L4-Polyesterene-C28</t>
  </si>
  <si>
    <t>C28</t>
  </si>
  <si>
    <t>T3-L4-Polyesterene-C29</t>
  </si>
  <si>
    <t>C29</t>
  </si>
  <si>
    <t>T3-L4-Polyesterene-C30</t>
  </si>
  <si>
    <t>C30</t>
  </si>
  <si>
    <t>T3-L4-Polyesterene-C31</t>
  </si>
  <si>
    <t>C31</t>
  </si>
  <si>
    <t>T3-L4-Polyesterene-C32</t>
  </si>
  <si>
    <t>C32</t>
  </si>
  <si>
    <t>T3-L4-Polyesterene-C33</t>
  </si>
  <si>
    <t>C33</t>
  </si>
  <si>
    <t>T3-L4-Polyesterene-C34</t>
  </si>
  <si>
    <t>C34</t>
  </si>
  <si>
    <t>T3-L4-Polyesterene-C35</t>
  </si>
  <si>
    <t>C35</t>
  </si>
  <si>
    <t>T3-L4-Polyesterene-C36</t>
  </si>
  <si>
    <t>C36</t>
  </si>
  <si>
    <t>T3-L4-Polyesterene-C37</t>
  </si>
  <si>
    <t>C37</t>
  </si>
  <si>
    <t>T3-L4-Polyesterene-C38</t>
  </si>
  <si>
    <t>C38</t>
  </si>
  <si>
    <t>T3-L4-Polyesterene-C39</t>
  </si>
  <si>
    <t>C39</t>
  </si>
  <si>
    <t>T3-L4-Polyesterene-C40</t>
  </si>
  <si>
    <t>C40</t>
  </si>
  <si>
    <t>T3-L4-Polyesterene-C41</t>
  </si>
  <si>
    <t>C41</t>
  </si>
  <si>
    <t>T3-L4-Polyesterene-C42</t>
  </si>
  <si>
    <t>C42</t>
  </si>
  <si>
    <t>T3-L4-Polyesterene-C43</t>
  </si>
  <si>
    <t>C43</t>
  </si>
  <si>
    <t>T3-L4-Polyesterene-C44</t>
  </si>
  <si>
    <t>C44</t>
  </si>
  <si>
    <t>T3-L4-Polyesterene-C45</t>
  </si>
  <si>
    <t>C45</t>
  </si>
  <si>
    <t>T4-L1-Z6-C1</t>
  </si>
  <si>
    <t>T4</t>
  </si>
  <si>
    <t>L1</t>
  </si>
  <si>
    <t>Z6</t>
  </si>
  <si>
    <t>T4-L1-Z6-C2</t>
  </si>
  <si>
    <t>T4-L1-Z6-C3</t>
  </si>
  <si>
    <t>T4-L1-Z6-C4</t>
  </si>
  <si>
    <t>T4-L1-Z6-C5</t>
  </si>
  <si>
    <t>T4-L1-Z6-C6</t>
  </si>
  <si>
    <t>T4-L1-Z6-C7</t>
  </si>
  <si>
    <t>T4-L1-Z6-C8</t>
  </si>
  <si>
    <t>T4-L1-Z6-C9</t>
  </si>
  <si>
    <t>T4-L1-Z6-C10</t>
  </si>
  <si>
    <t>T4-L1-Z6-C11</t>
  </si>
  <si>
    <t>T4-L1-Z6-C12</t>
  </si>
  <si>
    <t>T4-L1-Z6-C13</t>
  </si>
  <si>
    <t>T4-L1-Z6-C14</t>
  </si>
  <si>
    <t>T4-L1-Z6-C15</t>
  </si>
  <si>
    <t>T4-L1-Z6-C16</t>
  </si>
  <si>
    <t>T4-L1-Z7.1-C1</t>
  </si>
  <si>
    <t>Z7.1</t>
  </si>
  <si>
    <t>T4-L1-Z7.1-C2</t>
  </si>
  <si>
    <t>T4-L1-Z7-C1</t>
  </si>
  <si>
    <t>Z7</t>
  </si>
  <si>
    <t>T4-L1-Z7-C2</t>
  </si>
  <si>
    <t>T4-L1-Z7-C3</t>
  </si>
  <si>
    <t>T4-L1-Z7-C4</t>
  </si>
  <si>
    <t>T4-L1-Z7-C5</t>
  </si>
  <si>
    <t>T4-L1-Z7-C6</t>
  </si>
  <si>
    <t>T4-L1-Z7-C7</t>
  </si>
  <si>
    <t>T4-L1-Z7-C8</t>
  </si>
  <si>
    <t>T4-L1-Z7-C9</t>
  </si>
  <si>
    <t>T4-L1-Z7-C10</t>
  </si>
  <si>
    <t>T4-L1-Z7-C11</t>
  </si>
  <si>
    <t>T4-L1-Z7-C12</t>
  </si>
  <si>
    <t>T4-L1-Z7-C13</t>
  </si>
  <si>
    <t>T4-L1-Z7-C14</t>
  </si>
  <si>
    <t>T4-L1-Z7-C15</t>
  </si>
  <si>
    <t>T4-L1-Z8-C1</t>
  </si>
  <si>
    <t>Z8</t>
  </si>
  <si>
    <t>T4-L1-Z8-C2</t>
  </si>
  <si>
    <t>T4-L1-Z8-C3</t>
  </si>
  <si>
    <t>T4-L1-Z8-C4</t>
  </si>
  <si>
    <t>T4-L1-Z8-C5</t>
  </si>
  <si>
    <t>T4-L1-Z8-C6</t>
  </si>
  <si>
    <t>T4-L1-Z8-C7</t>
  </si>
  <si>
    <t>T4-L1-Z8-C8</t>
  </si>
  <si>
    <t>T4-L1-Z8-C9</t>
  </si>
  <si>
    <t>T4-L1-Z8-C10</t>
  </si>
  <si>
    <t>T4-L1-Z8-C11</t>
  </si>
  <si>
    <t>T4-L1-Z8-C12</t>
  </si>
  <si>
    <t>T4-L1-Z8-C13</t>
  </si>
  <si>
    <t>T4-L1-Z8-C14</t>
  </si>
  <si>
    <t>T4-L1-Z9-C1</t>
  </si>
  <si>
    <t>Z9</t>
  </si>
  <si>
    <t>T4-L1-Z9-C2</t>
  </si>
  <si>
    <t>T4-L1-Z9-C3</t>
  </si>
  <si>
    <t>T4-L1-Z9-C4</t>
  </si>
  <si>
    <t>T4-L1-Z9-C5</t>
  </si>
  <si>
    <t>T4-L1-Z9-C6</t>
  </si>
  <si>
    <t>T4-L1-Z9-C7</t>
  </si>
  <si>
    <t>T4-L1-Z9-C8</t>
  </si>
  <si>
    <t>T4-L1-Z9-C9</t>
  </si>
  <si>
    <t>T4-L1-Z9-C10</t>
  </si>
  <si>
    <t>T4-L1-Z11-C1</t>
  </si>
  <si>
    <t>T4-L1-Z11-C2</t>
  </si>
  <si>
    <t>T4-L1-Z11-C3</t>
  </si>
  <si>
    <t>T4-L1-Z11-C4</t>
  </si>
  <si>
    <t>T4-L1-Z11-C5</t>
  </si>
  <si>
    <t>T4-L1-Z11-C6</t>
  </si>
  <si>
    <t>T4-L1-Z11-C7</t>
  </si>
  <si>
    <t>T4-L1-Z12-C1</t>
  </si>
  <si>
    <t>T4-L1-Z12-C2</t>
  </si>
  <si>
    <t>T4-L1-Z12-C3</t>
  </si>
  <si>
    <t>T4-L1-Z12-C4</t>
  </si>
  <si>
    <t>T4-L1-Z12-C5</t>
  </si>
  <si>
    <t>T4-L1-Z12-C6</t>
  </si>
  <si>
    <t>T4-L1-Z12-C7</t>
  </si>
  <si>
    <t>T4-L1-Z12-C8</t>
  </si>
  <si>
    <t>T4-L1-Z12-C9</t>
  </si>
  <si>
    <t>T4-L1-Z12-C10</t>
  </si>
  <si>
    <t>T4-L1-Z12-C11</t>
  </si>
  <si>
    <t>T4-L1-Z12-C12</t>
  </si>
  <si>
    <t>T4-L1-Z12-C13</t>
  </si>
  <si>
    <t>T4-L1-Z12-C14</t>
  </si>
  <si>
    <t>T4-L1-Z12-C15</t>
  </si>
  <si>
    <t>T4-L1-Z12-C16</t>
  </si>
  <si>
    <t>T4-L1-Z12-C17</t>
  </si>
  <si>
    <t>T4-L1-Z12-C18</t>
  </si>
  <si>
    <t>T4-L1-Z12-C19</t>
  </si>
  <si>
    <t>T4-L1-Z13-C1</t>
  </si>
  <si>
    <t>Z13</t>
  </si>
  <si>
    <t>T4-L1-Z13-C2</t>
  </si>
  <si>
    <t>T4-L1-Z13-C3</t>
  </si>
  <si>
    <t>T4-L1-Z13-C4</t>
  </si>
  <si>
    <t>T4-L1-Z13-C5</t>
  </si>
  <si>
    <t>T4-L1-Z13-C6</t>
  </si>
  <si>
    <t>T4-L1-Z13-C7</t>
  </si>
  <si>
    <t>T4-L1-Z13-C8</t>
  </si>
  <si>
    <t>T4-L1-Z13-C9</t>
  </si>
  <si>
    <t>T4-L2-Z22-C1</t>
  </si>
  <si>
    <t>L2</t>
  </si>
  <si>
    <t>Z22</t>
  </si>
  <si>
    <t>T4-L2-Z22-C2</t>
  </si>
  <si>
    <t>T4-L2-Z22-C3</t>
  </si>
  <si>
    <t>T4-L2-Z22-C4</t>
  </si>
  <si>
    <t>T4-L2-Z22-C5</t>
  </si>
  <si>
    <t>T4-L2-Z22-C6</t>
  </si>
  <si>
    <t>T4-L2-Z22-C7</t>
  </si>
  <si>
    <t>T4-L2-Z22-C8</t>
  </si>
  <si>
    <t>T4-L2-Z22-C9</t>
  </si>
  <si>
    <t>T4-L2-Z22-C10</t>
  </si>
  <si>
    <t>T4-L2-Z22-C11</t>
  </si>
  <si>
    <t>T4-L2-Z22-C12</t>
  </si>
  <si>
    <t>T4-L2-Z22-C13</t>
  </si>
  <si>
    <t>T4-L2-Z22-C14</t>
  </si>
  <si>
    <t>T4-L2-Z22-C15</t>
  </si>
  <si>
    <t>T4-L2-Z22-C16</t>
  </si>
  <si>
    <t>T4-L2-Z22-C17</t>
  </si>
  <si>
    <t>T4-L2-Z22-C18</t>
  </si>
  <si>
    <t>T4-L2-Z22-C19</t>
  </si>
  <si>
    <t>T4-L2-Z22-C20</t>
  </si>
  <si>
    <t>T4-L2-Z22-C21</t>
  </si>
  <si>
    <t>T4-L2-Z22-C22</t>
  </si>
  <si>
    <t>T4-L2-Z22-C23</t>
  </si>
  <si>
    <t>T4-L2-Z22-C24</t>
  </si>
  <si>
    <t>T4-L2-Z22-C25</t>
  </si>
  <si>
    <t>T4-L2-Z22-C26</t>
  </si>
  <si>
    <t>T4-L2-Z23-C1</t>
  </si>
  <si>
    <t>Z23</t>
  </si>
  <si>
    <t>T4-L2-Z23-C2</t>
  </si>
  <si>
    <t>T4-L2-Z23-C3</t>
  </si>
  <si>
    <t>T4-L2-Z23-C4</t>
  </si>
  <si>
    <t>T4-L2-Z23-C5</t>
  </si>
  <si>
    <t>T4-L2-Z23-C6</t>
  </si>
  <si>
    <t>T4-L2-Z23-C7</t>
  </si>
  <si>
    <t>T4-L2-Z23-C8</t>
  </si>
  <si>
    <t>T4-L2-Z23-C9</t>
  </si>
  <si>
    <t>T4-L2-Z23-C10</t>
  </si>
  <si>
    <t>T4-L2-Z23-C11</t>
  </si>
  <si>
    <t>T4-L2-Z23-C12</t>
  </si>
  <si>
    <t>T4-L2-Z23-C13</t>
  </si>
  <si>
    <t>T4-L2-Z23-C14</t>
  </si>
  <si>
    <t>T4-L2-Z23-C15</t>
  </si>
  <si>
    <t>T4-L2-Z23-C16</t>
  </si>
  <si>
    <t>T4-L2-Z23-C17</t>
  </si>
  <si>
    <t>T4-L2-Z24-C1</t>
  </si>
  <si>
    <t>Z24</t>
  </si>
  <si>
    <t>T4-L2-Z24-C2</t>
  </si>
  <si>
    <t>T4-L2-Z24-C3</t>
  </si>
  <si>
    <t>T4-L2-Z24-C4</t>
  </si>
  <si>
    <t>T4-L2-Z24-C5</t>
  </si>
  <si>
    <t>T4-L2-Z24-C6</t>
  </si>
  <si>
    <t>T4-L2-Z24-C7</t>
  </si>
  <si>
    <t>T4-L2-Z24-C8</t>
  </si>
  <si>
    <t>T4-L2-Z24-C9</t>
  </si>
  <si>
    <t>T4-L2-Z24-C10</t>
  </si>
  <si>
    <t>T4-L2-Z24-C11</t>
  </si>
  <si>
    <t>T4-L2-Z24-C12</t>
  </si>
  <si>
    <t>T4-L2-Z24-C13</t>
  </si>
  <si>
    <t>T4-L2-Z24-C14</t>
  </si>
  <si>
    <t>T4-L2-Z24-C15</t>
  </si>
  <si>
    <t>T4-L2-Z24-C16</t>
  </si>
  <si>
    <t>T4-L2-Z24-C17</t>
  </si>
  <si>
    <t>T4-L2-Z24-C18</t>
  </si>
  <si>
    <t>T4-L2-Z24-C19</t>
  </si>
  <si>
    <t>T4-L2-Z24-C20</t>
  </si>
  <si>
    <t>T4-L2-Z24-C21</t>
  </si>
  <si>
    <t>T4-L2-Z25-C1</t>
  </si>
  <si>
    <t>Z25</t>
  </si>
  <si>
    <t>T4-L2-Z25-C2</t>
  </si>
  <si>
    <t>T4-L2-Z25-C3</t>
  </si>
  <si>
    <t>T4-L2-Z25-C4</t>
  </si>
  <si>
    <t>T4-L2-Z25-C5</t>
  </si>
  <si>
    <t>T4-L2-Z25-C6</t>
  </si>
  <si>
    <t>T4-L2-Z25-C7</t>
  </si>
  <si>
    <t>T4-L2-Z25-C8</t>
  </si>
  <si>
    <t>T4-L2-Z25-C9</t>
  </si>
  <si>
    <t>T4-L2-Z25-C10</t>
  </si>
  <si>
    <t>T4-L2-Z25-C11</t>
  </si>
  <si>
    <t>T4-L2-Z25-C12</t>
  </si>
  <si>
    <t>T4-L2-Z25-C13</t>
  </si>
  <si>
    <t>T4-L2-Z25-C14</t>
  </si>
  <si>
    <t>T4-L2-Z25-C15</t>
  </si>
  <si>
    <t>T4-L2-Z25-C16</t>
  </si>
  <si>
    <t>T4-L2-Z25-C17</t>
  </si>
  <si>
    <t>T4-L2-Z25-C18</t>
  </si>
  <si>
    <t>T4-L2-Z25-C19</t>
  </si>
  <si>
    <t>T4-L2-Z26-C1</t>
  </si>
  <si>
    <t>Z26</t>
  </si>
  <si>
    <t>T4-L2-Z26-C2</t>
  </si>
  <si>
    <t>T4-L2-Z26-C3</t>
  </si>
  <si>
    <t>T4-L2-Z26-C4</t>
  </si>
  <si>
    <t>T4-L2-Z26-C5</t>
  </si>
  <si>
    <t>T4-L2-Z26-C6</t>
  </si>
  <si>
    <t>T4-L2-Z26-C7</t>
  </si>
  <si>
    <t>T4-L2-Z26-C8</t>
  </si>
  <si>
    <t>T4-L2-Z26-C9</t>
  </si>
  <si>
    <t>T4-L2-Z26-C10</t>
  </si>
  <si>
    <t>T4-L2-Z26-C11</t>
  </si>
  <si>
    <t>T4-L2-Z26-C12</t>
  </si>
  <si>
    <t>T4-L2-Z26-C13</t>
  </si>
  <si>
    <t>T4-L2-Z26-C14</t>
  </si>
  <si>
    <t>T4-L2-Z26-C15</t>
  </si>
  <si>
    <t>T4-L2-Z26-C16</t>
  </si>
  <si>
    <t>T4-L2-Z26-C17</t>
  </si>
  <si>
    <t>T4-L2-Z26-C18</t>
  </si>
  <si>
    <t>T4-L2-Z26-C19</t>
  </si>
  <si>
    <t>T4-L2-Z26-C20</t>
  </si>
  <si>
    <t>T4-L2-Z26-C21</t>
  </si>
  <si>
    <t>T4-L2-Z26-C22</t>
  </si>
  <si>
    <t>T4-L2-Z26-C23</t>
  </si>
  <si>
    <t>T4-L2-Z26-C24</t>
  </si>
  <si>
    <t>T4-L2-Z26-C25</t>
  </si>
  <si>
    <t>T4-L2-Z27-C1</t>
  </si>
  <si>
    <t>Z27</t>
  </si>
  <si>
    <t>T4-L2-Z27-C2</t>
  </si>
  <si>
    <t>T4-L2-Z27-C3</t>
  </si>
  <si>
    <t>T4-L2-Z27-C4</t>
  </si>
  <si>
    <t>T4-L2-Z27-C5</t>
  </si>
  <si>
    <t>T4-L3-Z29_MC-C1</t>
  </si>
  <si>
    <t>Z29_MC</t>
  </si>
  <si>
    <t>T4-L3-Z29_MC-C2</t>
  </si>
  <si>
    <t>T4-L3-Z29_MC-C3</t>
  </si>
  <si>
    <t>T4-L3-Z29_MC-C4</t>
  </si>
  <si>
    <t>T4-L3-Z29_MC-C5</t>
  </si>
  <si>
    <t>T4-L3-Z29_MC-C6</t>
  </si>
  <si>
    <t>T4-L3-Z29_MC-C7</t>
  </si>
  <si>
    <t>T4-L3-Z29_MC-C8</t>
  </si>
  <si>
    <t>T4-L3-Z30_MC-C1</t>
  </si>
  <si>
    <t>Z30_MC</t>
  </si>
  <si>
    <t>T4-L3-Z30_MC-C2</t>
  </si>
  <si>
    <t>T4-L3-Z30_MC-C3</t>
  </si>
  <si>
    <t>T4-L3-Z30_MC-C4</t>
  </si>
  <si>
    <t>T4-L3-Z30_MC-C5</t>
  </si>
  <si>
    <t>T4-L3-Z30_MC-C6</t>
  </si>
  <si>
    <t>T4-L3-Z30_MC-C7</t>
  </si>
  <si>
    <t>T4-L3-Z30_MC-C8</t>
  </si>
  <si>
    <t>T4-L3-Z30_MC-C9</t>
  </si>
  <si>
    <t>T4-L3-Z30_MC-C10</t>
  </si>
  <si>
    <t>T4-L3-Z30_MC-C11</t>
  </si>
  <si>
    <t>T4-L3-Z30_MC-C12</t>
  </si>
  <si>
    <t>T4-L3-Z30_MC-C13</t>
  </si>
  <si>
    <t>T4-L3-Z30_MC-C14</t>
  </si>
  <si>
    <t>T4-L3-Z30_MC-C15</t>
  </si>
  <si>
    <t>T4-L3-Z30_MC-C16</t>
  </si>
  <si>
    <t>T4-L3-Z30_MC-C17</t>
  </si>
  <si>
    <t>T4-L3-Z30_MC-C18</t>
  </si>
  <si>
    <t>T4-L3-Z30_MC-C19</t>
  </si>
  <si>
    <t>T4-L3-Z30_MC-C20</t>
  </si>
  <si>
    <t>T4-L3-Z31_MC-C1</t>
  </si>
  <si>
    <t>Z31_MC</t>
  </si>
  <si>
    <t>T4-L3-Z31_MC-C2</t>
  </si>
  <si>
    <t>T4-L3-Z31_MC-C3</t>
  </si>
  <si>
    <t>T4-L3-Z31_MC-C4</t>
  </si>
  <si>
    <t>T4-L3-Z31_MC-C5</t>
  </si>
  <si>
    <t>T4-L3-Z31_MC-C6</t>
  </si>
  <si>
    <t>T4-L3-Z31_MC-C7</t>
  </si>
  <si>
    <t>T4-L3-Z31_MC-C8</t>
  </si>
  <si>
    <t>T4-L3-Z31_MC-C9</t>
  </si>
  <si>
    <t>T4-L3-Z31_MC-C10</t>
  </si>
  <si>
    <t>T4-L3-Z31_MC-C11</t>
  </si>
  <si>
    <t>T4-L3-Z31_MC-C12</t>
  </si>
  <si>
    <t>T4-L3-Z31_MC-C13</t>
  </si>
  <si>
    <t>T4-L3-Z31_MC-C14</t>
  </si>
  <si>
    <t>T4-L3-Z31_MC-C15</t>
  </si>
  <si>
    <t>T4-L3-Z31_MC-C16</t>
  </si>
  <si>
    <t>T4-L3-Z31_MC-C17</t>
  </si>
  <si>
    <t>T4-L3-Z32_MC-C1</t>
  </si>
  <si>
    <t>Z32_MC</t>
  </si>
  <si>
    <t>T4-L3-Z32_MC-C2</t>
  </si>
  <si>
    <t>T4-L3-Z32_MC-C3</t>
  </si>
  <si>
    <t>T4-L3-Z32_MC-C4</t>
  </si>
  <si>
    <t>T4-L3-Z32_MC-C5</t>
  </si>
  <si>
    <t>T4-L3-Z32_MC-C6</t>
  </si>
  <si>
    <t>T4-L3-Z32_MC-C7</t>
  </si>
  <si>
    <t>T4-L3-Z32_MC-C8</t>
  </si>
  <si>
    <t>T4-L3-Z32_MC-C9</t>
  </si>
  <si>
    <t>T4-L3-Z32_MC-C10</t>
  </si>
  <si>
    <t>T4-L3-Z32_MC-C11</t>
  </si>
  <si>
    <t>T4-L3-Z32_MC-C12</t>
  </si>
  <si>
    <t>T4-L3-Z32_MC-C13</t>
  </si>
  <si>
    <t>T4-L3-Z32_MC-C14</t>
  </si>
  <si>
    <t>T4-L3-Z32_MC-C15</t>
  </si>
  <si>
    <t>T4-L3-Z32_MC-C16</t>
  </si>
  <si>
    <t>T4-L3-Z32_MC-C17</t>
  </si>
  <si>
    <t>T4-L3-Z32_MC-C18</t>
  </si>
  <si>
    <t>T4-L3-Z32_MC-C19</t>
  </si>
  <si>
    <t>T4-L3-Z32_MC-C20</t>
  </si>
  <si>
    <t>T4-L3-Z32_MC-C21</t>
  </si>
  <si>
    <t>T4-L3-Z32_MC-C22</t>
  </si>
  <si>
    <t>T4-L3-Z32_MC-C23</t>
  </si>
  <si>
    <t>T4-L3-Z32_MC-C24</t>
  </si>
  <si>
    <t>T4-L3-Z33_MC-C1</t>
  </si>
  <si>
    <t>Z33_MC</t>
  </si>
  <si>
    <t>T4-L3-Z33_MC-C2</t>
  </si>
  <si>
    <t>T4-L3-Z33_MC-C3</t>
  </si>
  <si>
    <t>T4-L3-Z33_MC-C4</t>
  </si>
  <si>
    <t>T4-L3-Z33_MC-C5</t>
  </si>
  <si>
    <t>T4-L3-Z33_MC-C6</t>
  </si>
  <si>
    <t>T4-L3-Z33_MC-C7</t>
  </si>
  <si>
    <t>T4-L3-Z33_MC-C8</t>
  </si>
  <si>
    <t>T4-L3-Z33_MC-C9</t>
  </si>
  <si>
    <t>T4-L3-Z33_MC-C10</t>
  </si>
  <si>
    <t>T4-L3-Z33_MC-C11</t>
  </si>
  <si>
    <t>T4-L3-Z33_MC-C12</t>
  </si>
  <si>
    <t>T4-L3-Z33_MC-C13</t>
  </si>
  <si>
    <t>T4-L3-Z33_MC-C14</t>
  </si>
  <si>
    <t>T4-L3-Z33_MC-C15</t>
  </si>
  <si>
    <t>T4-L3-Z33_MC-C16</t>
  </si>
  <si>
    <t>T4-L3-Z34_MC-C1</t>
  </si>
  <si>
    <t>Z34_MC</t>
  </si>
  <si>
    <t>T4-L3-Z34_MC-C2</t>
  </si>
  <si>
    <t>T4-L3-Z34_MC-C3</t>
  </si>
  <si>
    <t>T4-L3-Z34_MC-C4</t>
  </si>
  <si>
    <t>T4-L3-Z34_MC-C5</t>
  </si>
  <si>
    <t>T4-L3-Z34_MC-C6</t>
  </si>
  <si>
    <t>T4-L3-Z34_MC-C7</t>
  </si>
  <si>
    <t>T4-L3-Z34_MC-C8</t>
  </si>
  <si>
    <t>T4-L3-Z34_MC-C9</t>
  </si>
  <si>
    <t>T4-L3-Z34_MC-C10</t>
  </si>
  <si>
    <t>T4-L3-Z34_MC-C11</t>
  </si>
  <si>
    <t>T4-L3-Z34_MC-C12</t>
  </si>
  <si>
    <t>T4-L3-Z34_MC-C13</t>
  </si>
  <si>
    <t>T4-L3-Z34_MC-C14</t>
  </si>
  <si>
    <t>T4-L3-Z34_MC-C15</t>
  </si>
  <si>
    <t>T4-L3-Z34_MC-C16</t>
  </si>
  <si>
    <t>T4-L3-Z34_MC-C17</t>
  </si>
  <si>
    <t>T4-L3-Z34_MC-C18</t>
  </si>
  <si>
    <t>T4-L3-Z34_MC-C19</t>
  </si>
  <si>
    <t>T4-L3-Z34_MC-C20</t>
  </si>
  <si>
    <t>T4-L3-Z34_MC-C21</t>
  </si>
  <si>
    <t>T4-L3-Z34_MC-C22</t>
  </si>
  <si>
    <t>T4-L3-Z34_MC-C23</t>
  </si>
  <si>
    <t>T4-L3-Z34_MC-C24</t>
  </si>
  <si>
    <t>T4-L3-Z34_MC-C25</t>
  </si>
  <si>
    <t>T4-L3-Z34_MC-C26</t>
  </si>
  <si>
    <t>T4-L3-Z34_MC-C27</t>
  </si>
  <si>
    <t>T4-L3-Polyesterene-C1</t>
  </si>
  <si>
    <t>T4-L3-Polyesterene-C2</t>
  </si>
  <si>
    <t>T4-L3-Polyesterene-C3</t>
  </si>
  <si>
    <t>T4-L3-Polyesterene-C4</t>
  </si>
  <si>
    <t>T4-L3-Polyesterene-C5</t>
  </si>
  <si>
    <t>T4-L3-Polyesterene-C6</t>
  </si>
  <si>
    <t>T4-L3-Polyesterene-C7</t>
  </si>
  <si>
    <t>T4-L3-Polyesterene-C8</t>
  </si>
  <si>
    <t>T4-L3-Polyesterene-C9</t>
  </si>
  <si>
    <t>T4-L3-Polyesterene-C10</t>
  </si>
  <si>
    <t>T4-L3-Polyesterene-C11</t>
  </si>
  <si>
    <t>T4-L3-Polyesterene-C12</t>
  </si>
  <si>
    <t>T4-L3-Polyesterene-C13</t>
  </si>
  <si>
    <t>T4-L3-Polyesterene-C14</t>
  </si>
  <si>
    <t>T4-L3-Polyesterene-C15</t>
  </si>
  <si>
    <t>T4-L3-Polyesterene-C16</t>
  </si>
  <si>
    <t>T4-L3-Polyesterene-C17</t>
  </si>
  <si>
    <t>T4-L3-Polyesterene-C18</t>
  </si>
  <si>
    <t>T4-L3-Polyesterene-C19</t>
  </si>
  <si>
    <t>T4-L3-Polyesterene-C20</t>
  </si>
  <si>
    <t>T4-L3-Polyesterene-C21</t>
  </si>
  <si>
    <t>T4-L3-Polyesterene-C22</t>
  </si>
  <si>
    <t>T4-L3-Polyesterene-C23</t>
  </si>
  <si>
    <t>T4-L3-Polyesterene-C24</t>
  </si>
  <si>
    <t>T4-L3-Polyesterene-C25</t>
  </si>
  <si>
    <t>T4-L3-Polyesterene-C26</t>
  </si>
  <si>
    <t>T4-L3-Polyesterene-C27</t>
  </si>
  <si>
    <t>T4-L3-Polyesterene-C28</t>
  </si>
  <si>
    <t>T4-L3-Polyesterene-C29</t>
  </si>
  <si>
    <t>T4-L3-Polyesterene-C30</t>
  </si>
  <si>
    <t>T4-L3-Polyesterene-C31</t>
  </si>
  <si>
    <t>T4-L3-Polyesterene-C32</t>
  </si>
  <si>
    <t>T4-L3-Polyesterene-C33</t>
  </si>
  <si>
    <t>T4-L3-Polyesterene-C34</t>
  </si>
  <si>
    <t>T4-L3-Polyesterene-C35</t>
  </si>
  <si>
    <t>T4-L3-Polyesterene-C36</t>
  </si>
  <si>
    <t>T4-L3-Polyesterene-C37</t>
  </si>
  <si>
    <t>T4-L3-Polyesterene-C38</t>
  </si>
  <si>
    <t>T4-L3-Polyesterene-C39</t>
  </si>
  <si>
    <t>T4-L3-Polyesterene-C40</t>
  </si>
  <si>
    <t>T4-L3-Polyesterene-C41</t>
  </si>
  <si>
    <t>T4-L3-Polyesterene-C42</t>
  </si>
  <si>
    <t>T4-L3-Polyesterene-C43</t>
  </si>
  <si>
    <t>T4-L3-Polyesterene-C44</t>
  </si>
  <si>
    <t>T4-L3-Polyesterene-C45</t>
  </si>
  <si>
    <t>T4-L3-Polyesterene-C46</t>
  </si>
  <si>
    <t>C46</t>
  </si>
  <si>
    <t>T4-L3-Polyesterene-C47</t>
  </si>
  <si>
    <t>C47</t>
  </si>
  <si>
    <t>T4-L3-Polyesterene-C48</t>
  </si>
  <si>
    <t>C48</t>
  </si>
  <si>
    <t>T4-L3-Polyesterene-C49</t>
  </si>
  <si>
    <t>C49</t>
  </si>
  <si>
    <t>T4-L3-Polyesterene-C50</t>
  </si>
  <si>
    <t>C50</t>
  </si>
  <si>
    <t>T4-L2-Stiffener-C1</t>
  </si>
  <si>
    <t>Stiffener</t>
  </si>
  <si>
    <t>T4-L2-Stiffener-C2</t>
  </si>
  <si>
    <t>T4-L2-Stiffener-C3</t>
  </si>
  <si>
    <t>T4-L2-Stiffener-C4</t>
  </si>
  <si>
    <t>T4-L1M-COB-C1</t>
  </si>
  <si>
    <t>L1M</t>
  </si>
  <si>
    <t>COB</t>
  </si>
  <si>
    <t>T4-L1M-Column_All-C1</t>
  </si>
  <si>
    <t>Column_All</t>
  </si>
  <si>
    <t>T4-L1M-Column_All-C2</t>
  </si>
  <si>
    <t>T4-L1M-Column_All-C3</t>
  </si>
  <si>
    <t>T4-L1M-Column_All-C4</t>
  </si>
  <si>
    <t>T4-L1M-Column_All-C5</t>
  </si>
  <si>
    <t>T4-L1M-Column_All-C6</t>
  </si>
  <si>
    <t>T4-L1M-Column_All-C7</t>
  </si>
  <si>
    <t>T4-L1M-Column_All-C8</t>
  </si>
  <si>
    <t>T4-L1M-Column_All-C9</t>
  </si>
  <si>
    <t>T4-L1M-Column_All-C10</t>
  </si>
  <si>
    <t>T4-L1M-Column_All-C11</t>
  </si>
  <si>
    <t>T4-L1M-Column_All-C12</t>
  </si>
  <si>
    <t>T4-L1M-Column_All-C13</t>
  </si>
  <si>
    <t>T4-L1M-Column_All-C14</t>
  </si>
  <si>
    <t>T4-L1M-Column_All-C15</t>
  </si>
  <si>
    <t>T4-L1M-Column_All-C16</t>
  </si>
  <si>
    <t>T4-L1M-Column_All-C17</t>
  </si>
  <si>
    <t>T4-L1M-Column_All-C18</t>
  </si>
  <si>
    <t>T4-L1M-Column_All-C19</t>
  </si>
  <si>
    <t>T4-L1M-Column_All-C20</t>
  </si>
  <si>
    <t>T4-L1M-Column_All-C21</t>
  </si>
  <si>
    <t>T4-L1M-Column_All-C22</t>
  </si>
  <si>
    <t>T4-L1M-Column_All-C23</t>
  </si>
  <si>
    <t>T4-L1M-Column_All-C24</t>
  </si>
  <si>
    <t>T4-L1M-Column_All-C25</t>
  </si>
  <si>
    <t>T4-L1M-Column_All-C26</t>
  </si>
  <si>
    <t>T4-L1M-Column_All-C27</t>
  </si>
  <si>
    <t>T4-L1M-Column_All-C28</t>
  </si>
  <si>
    <t>T4-L1M-Column_All-C29</t>
  </si>
  <si>
    <t>T4-L1M-Column_All-C30</t>
  </si>
  <si>
    <t>T4-L1M-Column_All-C31</t>
  </si>
  <si>
    <t>T4-L1M-Column_All-C32</t>
  </si>
  <si>
    <t>T4-L1M-Column_All-C33</t>
  </si>
  <si>
    <t>T4-L1M-Column_All-C34</t>
  </si>
  <si>
    <t>Column_nos</t>
  </si>
  <si>
    <t>Row Labels</t>
  </si>
  <si>
    <t>Grand Total</t>
  </si>
  <si>
    <t>Sum of fwk_pc13</t>
  </si>
  <si>
    <t>Sum of rebar_pc13</t>
  </si>
  <si>
    <t>Sum of concrete_pc13</t>
  </si>
  <si>
    <t>Sum of fwk_pc14</t>
  </si>
  <si>
    <t>Sum of rebar_pc14</t>
  </si>
  <si>
    <t>Sum of concrete_pc14</t>
  </si>
  <si>
    <t>Progress_PC13</t>
  </si>
  <si>
    <t>Progress_PC14</t>
  </si>
  <si>
    <t>%_progress_PC13</t>
  </si>
  <si>
    <t>%_progress_PC14</t>
  </si>
  <si>
    <t>Sum of Column_nos</t>
  </si>
  <si>
    <t>Sum of Progress_PC13</t>
  </si>
  <si>
    <t>Sum of Progress_PC14</t>
  </si>
  <si>
    <t>Count of Column_ID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</si>
</sst>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10" xfId="0" applyFont="1" applyFill="1" applyBorder="1"/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43" fontId="16" fillId="33" borderId="11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nal Abidin Bosiran" refreshedDate="45988.437225231479" createdVersion="8" refreshedVersion="8" minRefreshableVersion="3" recordCount="569" xr:uid="{185FEC3E-EE63-4388-9A69-AA7905B3C324}">
  <cacheSource type="worksheet">
    <worksheetSource name="Table1"/>
  </cacheSource>
  <cacheFields count="13">
    <cacheField name="Full_ID" numFmtId="0">
      <sharedItems/>
    </cacheField>
    <cacheField name="Tower" numFmtId="0">
      <sharedItems count="2">
        <s v="T3"/>
        <s v="T4"/>
      </sharedItems>
    </cacheField>
    <cacheField name="Level" numFmtId="0">
      <sharedItems count="5">
        <s v="L4"/>
        <s v="L3"/>
        <s v="L1"/>
        <s v="L2"/>
        <s v="L1M"/>
      </sharedItems>
    </cacheField>
    <cacheField name="Zone" numFmtId="0">
      <sharedItems/>
    </cacheField>
    <cacheField name="SOW" numFmtId="0">
      <sharedItems containsSemiMixedTypes="0" containsString="0" containsNumber="1" containsInteger="1" minValue="2" maxValue="6" count="4">
        <n v="4"/>
        <n v="2"/>
        <n v="5"/>
        <n v="6"/>
      </sharedItems>
    </cacheField>
    <cacheField name="Column_ID" numFmtId="0">
      <sharedItems/>
    </cacheField>
    <cacheField name="fwk_pc13" numFmtId="0">
      <sharedItems containsString="0" containsBlank="1" containsNumber="1" containsInteger="1" minValue="0" maxValue="1"/>
    </cacheField>
    <cacheField name="rebar_pc13" numFmtId="0">
      <sharedItems containsString="0" containsBlank="1" containsNumber="1" containsInteger="1" minValue="0" maxValue="1"/>
    </cacheField>
    <cacheField name="concrete_pc13" numFmtId="0">
      <sharedItems containsString="0" containsBlank="1" containsNumber="1" containsInteger="1" minValue="0" maxValue="1"/>
    </cacheField>
    <cacheField name="Category" numFmtId="0">
      <sharedItems count="3">
        <s v="MC"/>
        <s v="Column"/>
        <s v="Poly"/>
      </sharedItems>
    </cacheField>
    <cacheField name="fwk_pc14" numFmtId="0">
      <sharedItems containsString="0" containsBlank="1" containsNumber="1" containsInteger="1" minValue="0" maxValue="1"/>
    </cacheField>
    <cacheField name="rebar_pc14" numFmtId="0">
      <sharedItems containsString="0" containsBlank="1" containsNumber="1" containsInteger="1" minValue="0" maxValue="1"/>
    </cacheField>
    <cacheField name="concrete_pc14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nal Abidin Bosiran" refreshedDate="45988.444252662041" createdVersion="8" refreshedVersion="8" minRefreshableVersion="3" recordCount="7" xr:uid="{A95097F9-0B86-461D-9C83-0BB6C0C41492}">
  <cacheSource type="worksheet">
    <worksheetSource ref="A1:H8" sheet="Column_Summary"/>
  </cacheSource>
  <cacheFields count="8">
    <cacheField name="Tower" numFmtId="0">
      <sharedItems/>
    </cacheField>
    <cacheField name="Level" numFmtId="0">
      <sharedItems/>
    </cacheField>
    <cacheField name="SOW" numFmtId="0">
      <sharedItems containsSemiMixedTypes="0" containsString="0" containsNumber="1" containsInteger="1" minValue="2" maxValue="6" count="4">
        <n v="2"/>
        <n v="5"/>
        <n v="6"/>
        <n v="4"/>
      </sharedItems>
    </cacheField>
    <cacheField name="Column_nos" numFmtId="0">
      <sharedItems containsSemiMixedTypes="0" containsString="0" containsNumber="1" containsInteger="1" minValue="10" maxValue="117"/>
    </cacheField>
    <cacheField name="Progress_PC13" numFmtId="43">
      <sharedItems containsSemiMixedTypes="0" containsString="0" containsNumber="1" minValue="10" maxValue="63"/>
    </cacheField>
    <cacheField name="Progress_PC14" numFmtId="43">
      <sharedItems containsSemiMixedTypes="0" containsString="0" containsNumber="1" minValue="10" maxValue="65.666666666666671"/>
    </cacheField>
    <cacheField name="%_progress_PC13" numFmtId="43">
      <sharedItems containsSemiMixedTypes="0" containsString="0" containsNumber="1" minValue="0.53846153846153844" maxValue="1.0125786163522013"/>
    </cacheField>
    <cacheField name="%_progress_PC14" numFmtId="43">
      <sharedItems containsSemiMixedTypes="0" containsString="0" containsNumber="1" minValue="0.56125356125356129" maxValue="1.1635220125786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s v="T3-L4-Z17_MC-C1"/>
    <x v="0"/>
    <x v="0"/>
    <s v="Z17_MC"/>
    <x v="0"/>
    <s v="C1"/>
    <n v="0"/>
    <n v="0"/>
    <n v="0"/>
    <x v="0"/>
    <n v="1"/>
    <n v="1"/>
    <n v="1"/>
  </r>
  <r>
    <s v="T3-L4-Z17_MC-C2"/>
    <x v="0"/>
    <x v="0"/>
    <s v="Z17_MC"/>
    <x v="0"/>
    <s v="C2"/>
    <n v="0"/>
    <n v="0"/>
    <n v="0"/>
    <x v="0"/>
    <n v="1"/>
    <n v="1"/>
    <n v="1"/>
  </r>
  <r>
    <s v="T3-L4-Z17_MC-C3"/>
    <x v="0"/>
    <x v="0"/>
    <s v="Z17_MC"/>
    <x v="0"/>
    <s v="C3"/>
    <n v="0"/>
    <n v="0"/>
    <n v="0"/>
    <x v="0"/>
    <n v="1"/>
    <n v="1"/>
    <n v="1"/>
  </r>
  <r>
    <s v="T3-L4-Z17_MC-C4"/>
    <x v="0"/>
    <x v="0"/>
    <s v="Z17_MC"/>
    <x v="0"/>
    <s v="C4"/>
    <n v="0"/>
    <n v="0"/>
    <n v="0"/>
    <x v="0"/>
    <n v="1"/>
    <n v="1"/>
    <n v="1"/>
  </r>
  <r>
    <s v="T3-L4-Z17_MC-C5"/>
    <x v="0"/>
    <x v="0"/>
    <s v="Z17_MC"/>
    <x v="0"/>
    <s v="C5"/>
    <n v="0"/>
    <n v="0"/>
    <n v="0"/>
    <x v="0"/>
    <n v="1"/>
    <n v="1"/>
    <n v="1"/>
  </r>
  <r>
    <s v="T3-L4-Z17_MC-C6"/>
    <x v="0"/>
    <x v="0"/>
    <s v="Z17_MC"/>
    <x v="0"/>
    <s v="C6"/>
    <n v="0"/>
    <n v="0"/>
    <n v="0"/>
    <x v="0"/>
    <n v="1"/>
    <n v="1"/>
    <n v="1"/>
  </r>
  <r>
    <s v="T3-L4-Z17_MC-C7"/>
    <x v="0"/>
    <x v="0"/>
    <s v="Z17_MC"/>
    <x v="0"/>
    <s v="C7"/>
    <n v="0"/>
    <n v="0"/>
    <n v="0"/>
    <x v="0"/>
    <n v="1"/>
    <n v="1"/>
    <n v="1"/>
  </r>
  <r>
    <s v="T3-L4-Z17_MC-C8"/>
    <x v="0"/>
    <x v="0"/>
    <s v="Z17_MC"/>
    <x v="0"/>
    <s v="C8"/>
    <n v="0"/>
    <n v="0"/>
    <n v="0"/>
    <x v="0"/>
    <n v="1"/>
    <n v="1"/>
    <n v="1"/>
  </r>
  <r>
    <s v="T3-L4-Z17_MC-C9"/>
    <x v="0"/>
    <x v="0"/>
    <s v="Z17_MC"/>
    <x v="0"/>
    <s v="C9"/>
    <n v="0"/>
    <n v="0"/>
    <n v="0"/>
    <x v="0"/>
    <n v="1"/>
    <n v="1"/>
    <n v="1"/>
  </r>
  <r>
    <s v="T3-L4-Z17_MC-C10"/>
    <x v="0"/>
    <x v="0"/>
    <s v="Z17_MC"/>
    <x v="0"/>
    <s v="C10"/>
    <n v="0"/>
    <n v="0"/>
    <n v="0"/>
    <x v="0"/>
    <n v="1"/>
    <n v="1"/>
    <n v="1"/>
  </r>
  <r>
    <s v="T3-L4-Z17_MC-C11"/>
    <x v="0"/>
    <x v="0"/>
    <s v="Z17_MC"/>
    <x v="0"/>
    <s v="C11"/>
    <n v="0"/>
    <n v="0"/>
    <n v="0"/>
    <x v="0"/>
    <n v="1"/>
    <n v="1"/>
    <n v="1"/>
  </r>
  <r>
    <s v="T3-L4-Z17_MC-C12"/>
    <x v="0"/>
    <x v="0"/>
    <s v="Z17_MC"/>
    <x v="0"/>
    <s v="C12"/>
    <n v="0"/>
    <n v="0"/>
    <n v="0"/>
    <x v="0"/>
    <n v="1"/>
    <n v="1"/>
    <n v="1"/>
  </r>
  <r>
    <s v="T3-L3-Z10-C1"/>
    <x v="0"/>
    <x v="1"/>
    <s v="Z10"/>
    <x v="0"/>
    <s v="C1"/>
    <n v="1"/>
    <n v="1"/>
    <n v="1"/>
    <x v="1"/>
    <n v="1"/>
    <n v="1"/>
    <n v="1"/>
  </r>
  <r>
    <s v="T3-L3-Z10-C2"/>
    <x v="0"/>
    <x v="1"/>
    <s v="Z10"/>
    <x v="0"/>
    <s v="C2"/>
    <n v="1"/>
    <n v="1"/>
    <n v="1"/>
    <x v="1"/>
    <n v="1"/>
    <n v="1"/>
    <n v="1"/>
  </r>
  <r>
    <s v="T3-L3-Z10-C3"/>
    <x v="0"/>
    <x v="1"/>
    <s v="Z10"/>
    <x v="0"/>
    <s v="C3"/>
    <n v="1"/>
    <n v="1"/>
    <n v="1"/>
    <x v="1"/>
    <n v="1"/>
    <n v="1"/>
    <n v="1"/>
  </r>
  <r>
    <s v="T3-L3-Z10-C4"/>
    <x v="0"/>
    <x v="1"/>
    <s v="Z10"/>
    <x v="0"/>
    <s v="C4"/>
    <n v="1"/>
    <n v="1"/>
    <n v="1"/>
    <x v="1"/>
    <n v="1"/>
    <n v="1"/>
    <n v="1"/>
  </r>
  <r>
    <s v="T3-L3-Z10-C5"/>
    <x v="0"/>
    <x v="1"/>
    <s v="Z10"/>
    <x v="0"/>
    <s v="C5"/>
    <n v="1"/>
    <n v="1"/>
    <n v="1"/>
    <x v="1"/>
    <n v="1"/>
    <n v="1"/>
    <n v="1"/>
  </r>
  <r>
    <s v="T3-L3-Z10-C6"/>
    <x v="0"/>
    <x v="1"/>
    <s v="Z10"/>
    <x v="0"/>
    <s v="C6"/>
    <n v="1"/>
    <n v="1"/>
    <n v="1"/>
    <x v="1"/>
    <n v="1"/>
    <n v="1"/>
    <n v="1"/>
  </r>
  <r>
    <s v="T3-L3-Z11-C1"/>
    <x v="0"/>
    <x v="1"/>
    <s v="Z11"/>
    <x v="0"/>
    <s v="C1"/>
    <n v="1"/>
    <n v="1"/>
    <n v="1"/>
    <x v="1"/>
    <n v="1"/>
    <n v="1"/>
    <n v="1"/>
  </r>
  <r>
    <s v="T3-L3-Z11-C2"/>
    <x v="0"/>
    <x v="1"/>
    <s v="Z11"/>
    <x v="0"/>
    <s v="C2"/>
    <n v="1"/>
    <n v="1"/>
    <n v="1"/>
    <x v="1"/>
    <n v="1"/>
    <n v="1"/>
    <n v="1"/>
  </r>
  <r>
    <s v="T3-L3-Z11-C3"/>
    <x v="0"/>
    <x v="1"/>
    <s v="Z11"/>
    <x v="0"/>
    <s v="C3"/>
    <n v="1"/>
    <n v="1"/>
    <n v="1"/>
    <x v="1"/>
    <n v="1"/>
    <n v="1"/>
    <n v="1"/>
  </r>
  <r>
    <s v="T3-L3-Z11-C4"/>
    <x v="0"/>
    <x v="1"/>
    <s v="Z11"/>
    <x v="0"/>
    <s v="C4"/>
    <n v="1"/>
    <n v="1"/>
    <n v="1"/>
    <x v="1"/>
    <n v="1"/>
    <n v="1"/>
    <n v="1"/>
  </r>
  <r>
    <s v="T3-L3-Z11-C5"/>
    <x v="0"/>
    <x v="1"/>
    <s v="Z11"/>
    <x v="0"/>
    <s v="C5"/>
    <n v="1"/>
    <n v="1"/>
    <n v="1"/>
    <x v="1"/>
    <n v="1"/>
    <n v="1"/>
    <n v="1"/>
  </r>
  <r>
    <s v="T3-L3-Z11-C6"/>
    <x v="0"/>
    <x v="1"/>
    <s v="Z11"/>
    <x v="0"/>
    <s v="C6"/>
    <n v="1"/>
    <n v="1"/>
    <n v="1"/>
    <x v="1"/>
    <n v="1"/>
    <n v="1"/>
    <n v="1"/>
  </r>
  <r>
    <s v="T3-L3-Z11-C7"/>
    <x v="0"/>
    <x v="1"/>
    <s v="Z11"/>
    <x v="0"/>
    <s v="C7"/>
    <n v="1"/>
    <n v="1"/>
    <n v="1"/>
    <x v="1"/>
    <n v="1"/>
    <n v="1"/>
    <n v="1"/>
  </r>
  <r>
    <s v="T3-L3-Z11-C8"/>
    <x v="0"/>
    <x v="1"/>
    <s v="Z11"/>
    <x v="0"/>
    <s v="C8"/>
    <n v="1"/>
    <n v="1"/>
    <n v="1"/>
    <x v="1"/>
    <n v="1"/>
    <n v="1"/>
    <n v="1"/>
  </r>
  <r>
    <s v="T3-L3-Z11-C9"/>
    <x v="0"/>
    <x v="1"/>
    <s v="Z11"/>
    <x v="0"/>
    <s v="C9"/>
    <n v="1"/>
    <n v="1"/>
    <n v="1"/>
    <x v="1"/>
    <n v="1"/>
    <n v="1"/>
    <n v="1"/>
  </r>
  <r>
    <s v="T3-L3-Z11-C10"/>
    <x v="0"/>
    <x v="1"/>
    <s v="Z11"/>
    <x v="0"/>
    <s v="C10"/>
    <n v="1"/>
    <n v="1"/>
    <n v="1"/>
    <x v="1"/>
    <n v="1"/>
    <n v="1"/>
    <n v="1"/>
  </r>
  <r>
    <s v="T3-L3-Z11-C11"/>
    <x v="0"/>
    <x v="1"/>
    <s v="Z11"/>
    <x v="0"/>
    <s v="C11"/>
    <n v="1"/>
    <n v="1"/>
    <n v="1"/>
    <x v="1"/>
    <n v="1"/>
    <n v="1"/>
    <n v="1"/>
  </r>
  <r>
    <s v="T3-L3-Z11-C12"/>
    <x v="0"/>
    <x v="1"/>
    <s v="Z11"/>
    <x v="0"/>
    <s v="C12"/>
    <n v="1"/>
    <n v="1"/>
    <n v="1"/>
    <x v="1"/>
    <n v="1"/>
    <n v="1"/>
    <n v="1"/>
  </r>
  <r>
    <s v="T3-L3-Z11-C13"/>
    <x v="0"/>
    <x v="1"/>
    <s v="Z11"/>
    <x v="0"/>
    <s v="C13"/>
    <n v="1"/>
    <n v="1"/>
    <n v="1"/>
    <x v="1"/>
    <n v="1"/>
    <n v="1"/>
    <n v="1"/>
  </r>
  <r>
    <s v="T3-L3-Z11-C14"/>
    <x v="0"/>
    <x v="1"/>
    <s v="Z11"/>
    <x v="0"/>
    <s v="C14"/>
    <n v="1"/>
    <n v="1"/>
    <n v="1"/>
    <x v="1"/>
    <n v="1"/>
    <n v="1"/>
    <n v="1"/>
  </r>
  <r>
    <s v="T3-L3-Z11-C15"/>
    <x v="0"/>
    <x v="1"/>
    <s v="Z11"/>
    <x v="0"/>
    <s v="C15"/>
    <n v="1"/>
    <n v="1"/>
    <n v="1"/>
    <x v="1"/>
    <n v="1"/>
    <n v="1"/>
    <n v="1"/>
  </r>
  <r>
    <s v="T3-L3-Z11-C16"/>
    <x v="0"/>
    <x v="1"/>
    <s v="Z11"/>
    <x v="0"/>
    <s v="C16"/>
    <n v="1"/>
    <n v="1"/>
    <n v="1"/>
    <x v="1"/>
    <n v="1"/>
    <n v="1"/>
    <n v="1"/>
  </r>
  <r>
    <s v="T3-L3-Z11-C17"/>
    <x v="0"/>
    <x v="1"/>
    <s v="Z11"/>
    <x v="0"/>
    <s v="C17"/>
    <n v="1"/>
    <n v="1"/>
    <n v="1"/>
    <x v="1"/>
    <n v="1"/>
    <n v="1"/>
    <n v="1"/>
  </r>
  <r>
    <s v="T3-L3-Z11-C18"/>
    <x v="0"/>
    <x v="1"/>
    <s v="Z11"/>
    <x v="0"/>
    <s v="C18"/>
    <n v="1"/>
    <n v="1"/>
    <n v="1"/>
    <x v="1"/>
    <n v="1"/>
    <n v="1"/>
    <n v="1"/>
  </r>
  <r>
    <s v="T3-L3-Z11-C19"/>
    <x v="0"/>
    <x v="1"/>
    <s v="Z11"/>
    <x v="0"/>
    <s v="C19"/>
    <n v="1"/>
    <n v="1"/>
    <n v="1"/>
    <x v="1"/>
    <n v="1"/>
    <n v="1"/>
    <n v="1"/>
  </r>
  <r>
    <s v="T3-L3-Z11-C20"/>
    <x v="0"/>
    <x v="1"/>
    <s v="Z11"/>
    <x v="0"/>
    <s v="C20"/>
    <n v="1"/>
    <n v="1"/>
    <n v="1"/>
    <x v="1"/>
    <n v="1"/>
    <n v="1"/>
    <n v="1"/>
  </r>
  <r>
    <s v="T3-L3-Z11-C21"/>
    <x v="0"/>
    <x v="1"/>
    <s v="Z11"/>
    <x v="0"/>
    <s v="C21"/>
    <n v="1"/>
    <n v="1"/>
    <n v="1"/>
    <x v="1"/>
    <n v="1"/>
    <n v="1"/>
    <n v="1"/>
  </r>
  <r>
    <s v="T3-L3-Z11-C22"/>
    <x v="0"/>
    <x v="1"/>
    <s v="Z11"/>
    <x v="0"/>
    <s v="C22"/>
    <n v="1"/>
    <n v="1"/>
    <n v="1"/>
    <x v="1"/>
    <n v="1"/>
    <n v="1"/>
    <n v="1"/>
  </r>
  <r>
    <s v="T3-L3-Z11-C23"/>
    <x v="0"/>
    <x v="1"/>
    <s v="Z11"/>
    <x v="0"/>
    <s v="C23"/>
    <n v="1"/>
    <n v="1"/>
    <n v="1"/>
    <x v="1"/>
    <n v="1"/>
    <n v="1"/>
    <n v="1"/>
  </r>
  <r>
    <s v="T3-L3-Z12-C1"/>
    <x v="0"/>
    <x v="1"/>
    <s v="Z12"/>
    <x v="0"/>
    <s v="C1"/>
    <n v="1"/>
    <n v="1"/>
    <m/>
    <x v="1"/>
    <n v="1"/>
    <n v="1"/>
    <n v="1"/>
  </r>
  <r>
    <s v="T3-L3-Z12-C2"/>
    <x v="0"/>
    <x v="1"/>
    <s v="Z12"/>
    <x v="0"/>
    <s v="C2"/>
    <m/>
    <m/>
    <m/>
    <x v="1"/>
    <n v="1"/>
    <n v="1"/>
    <n v="1"/>
  </r>
  <r>
    <s v="T3-L3-Z12-C3"/>
    <x v="0"/>
    <x v="1"/>
    <s v="Z12"/>
    <x v="0"/>
    <s v="C3"/>
    <m/>
    <m/>
    <m/>
    <x v="1"/>
    <n v="1"/>
    <n v="1"/>
    <n v="1"/>
  </r>
  <r>
    <s v="T3-L3-Z12-C4"/>
    <x v="0"/>
    <x v="1"/>
    <s v="Z12"/>
    <x v="0"/>
    <s v="C4"/>
    <m/>
    <m/>
    <m/>
    <x v="1"/>
    <n v="1"/>
    <n v="1"/>
    <n v="1"/>
  </r>
  <r>
    <s v="T3-L3-Z12-C5"/>
    <x v="0"/>
    <x v="1"/>
    <s v="Z12"/>
    <x v="0"/>
    <s v="C5"/>
    <n v="1"/>
    <n v="1"/>
    <m/>
    <x v="1"/>
    <n v="1"/>
    <n v="1"/>
    <n v="1"/>
  </r>
  <r>
    <s v="T3-L3-Z12-C6"/>
    <x v="0"/>
    <x v="1"/>
    <s v="Z12"/>
    <x v="0"/>
    <s v="C6"/>
    <m/>
    <m/>
    <m/>
    <x v="1"/>
    <n v="1"/>
    <n v="1"/>
    <n v="1"/>
  </r>
  <r>
    <s v="T3-L3-Z12-C7"/>
    <x v="0"/>
    <x v="1"/>
    <s v="Z12"/>
    <x v="0"/>
    <s v="C7"/>
    <m/>
    <m/>
    <m/>
    <x v="1"/>
    <n v="1"/>
    <n v="1"/>
    <n v="1"/>
  </r>
  <r>
    <s v="T3-L3-Z12-C8"/>
    <x v="0"/>
    <x v="1"/>
    <s v="Z12"/>
    <x v="0"/>
    <s v="C8"/>
    <n v="1"/>
    <n v="1"/>
    <m/>
    <x v="1"/>
    <n v="1"/>
    <n v="1"/>
    <n v="1"/>
  </r>
  <r>
    <s v="T3-L3-Z12-C9"/>
    <x v="0"/>
    <x v="1"/>
    <s v="Z12"/>
    <x v="0"/>
    <s v="C9"/>
    <n v="1"/>
    <n v="1"/>
    <m/>
    <x v="1"/>
    <n v="1"/>
    <n v="1"/>
    <n v="1"/>
  </r>
  <r>
    <s v="T3-L3-Z12-C10"/>
    <x v="0"/>
    <x v="1"/>
    <s v="Z12"/>
    <x v="0"/>
    <s v="C10"/>
    <m/>
    <m/>
    <m/>
    <x v="1"/>
    <n v="1"/>
    <n v="1"/>
    <n v="1"/>
  </r>
  <r>
    <s v="T3-L3-Z12-C11"/>
    <x v="0"/>
    <x v="1"/>
    <s v="Z12"/>
    <x v="0"/>
    <s v="C11"/>
    <m/>
    <m/>
    <m/>
    <x v="1"/>
    <n v="1"/>
    <n v="1"/>
    <n v="1"/>
  </r>
  <r>
    <s v="T3-L3-Z12-C12"/>
    <x v="0"/>
    <x v="1"/>
    <s v="Z12"/>
    <x v="0"/>
    <s v="C12"/>
    <n v="1"/>
    <n v="1"/>
    <m/>
    <x v="1"/>
    <n v="1"/>
    <n v="1"/>
    <n v="1"/>
  </r>
  <r>
    <s v="T3-L3-Z14-C1"/>
    <x v="0"/>
    <x v="1"/>
    <s v="Z14"/>
    <x v="0"/>
    <s v="C1"/>
    <m/>
    <m/>
    <m/>
    <x v="1"/>
    <m/>
    <n v="1"/>
    <m/>
  </r>
  <r>
    <s v="T3-L3-Z14-C2"/>
    <x v="0"/>
    <x v="1"/>
    <s v="Z14"/>
    <x v="0"/>
    <s v="C2"/>
    <m/>
    <m/>
    <m/>
    <x v="1"/>
    <m/>
    <n v="1"/>
    <m/>
  </r>
  <r>
    <s v="T3-L3-Z14-C3"/>
    <x v="0"/>
    <x v="1"/>
    <s v="Z14"/>
    <x v="0"/>
    <s v="C3"/>
    <m/>
    <m/>
    <m/>
    <x v="1"/>
    <m/>
    <n v="1"/>
    <m/>
  </r>
  <r>
    <s v="T3-L3-Z14-C4"/>
    <x v="0"/>
    <x v="1"/>
    <s v="Z14"/>
    <x v="0"/>
    <s v="C4"/>
    <m/>
    <m/>
    <m/>
    <x v="1"/>
    <m/>
    <n v="1"/>
    <m/>
  </r>
  <r>
    <s v="T3-L3-Z14-C5"/>
    <x v="0"/>
    <x v="1"/>
    <s v="Z14"/>
    <x v="0"/>
    <s v="C5"/>
    <m/>
    <m/>
    <m/>
    <x v="1"/>
    <m/>
    <n v="1"/>
    <m/>
  </r>
  <r>
    <s v="T3-L3-Z14-C6"/>
    <x v="0"/>
    <x v="1"/>
    <s v="Z14"/>
    <x v="0"/>
    <s v="C6"/>
    <m/>
    <m/>
    <m/>
    <x v="1"/>
    <m/>
    <n v="1"/>
    <m/>
  </r>
  <r>
    <s v="T3-L3-Z14-C7"/>
    <x v="0"/>
    <x v="1"/>
    <s v="Z14"/>
    <x v="0"/>
    <s v="C7"/>
    <m/>
    <m/>
    <m/>
    <x v="1"/>
    <m/>
    <n v="1"/>
    <m/>
  </r>
  <r>
    <s v="T3-L3-Z14-C8"/>
    <x v="0"/>
    <x v="1"/>
    <s v="Z14"/>
    <x v="0"/>
    <s v="C8"/>
    <m/>
    <m/>
    <m/>
    <x v="1"/>
    <m/>
    <n v="1"/>
    <m/>
  </r>
  <r>
    <s v="T3-L3-Z14-C9"/>
    <x v="0"/>
    <x v="1"/>
    <s v="Z14"/>
    <x v="0"/>
    <s v="C9"/>
    <m/>
    <m/>
    <m/>
    <x v="1"/>
    <m/>
    <n v="1"/>
    <m/>
  </r>
  <r>
    <s v="T3-L3-Z14-C10"/>
    <x v="0"/>
    <x v="1"/>
    <s v="Z14"/>
    <x v="0"/>
    <s v="C10"/>
    <m/>
    <m/>
    <m/>
    <x v="1"/>
    <m/>
    <n v="1"/>
    <m/>
  </r>
  <r>
    <s v="T3-L3-Z14-C11"/>
    <x v="0"/>
    <x v="1"/>
    <s v="Z14"/>
    <x v="0"/>
    <s v="C11"/>
    <m/>
    <m/>
    <m/>
    <x v="1"/>
    <m/>
    <n v="1"/>
    <m/>
  </r>
  <r>
    <s v="T3-L3-Z14-C12"/>
    <x v="0"/>
    <x v="1"/>
    <s v="Z14"/>
    <x v="0"/>
    <s v="C12"/>
    <m/>
    <m/>
    <m/>
    <x v="1"/>
    <m/>
    <n v="1"/>
    <m/>
  </r>
  <r>
    <s v="T3-L4-Z15_MC-C1"/>
    <x v="0"/>
    <x v="0"/>
    <s v="Z15_MC"/>
    <x v="0"/>
    <s v="C1"/>
    <n v="1"/>
    <n v="1"/>
    <n v="1"/>
    <x v="0"/>
    <n v="1"/>
    <n v="1"/>
    <n v="1"/>
  </r>
  <r>
    <s v="T3-L4-Z15_MC-C2"/>
    <x v="0"/>
    <x v="0"/>
    <s v="Z15_MC"/>
    <x v="0"/>
    <s v="C2"/>
    <n v="1"/>
    <n v="1"/>
    <n v="1"/>
    <x v="0"/>
    <n v="1"/>
    <n v="1"/>
    <n v="1"/>
  </r>
  <r>
    <s v="T3-L4-Z15_MC-C3"/>
    <x v="0"/>
    <x v="0"/>
    <s v="Z15_MC"/>
    <x v="0"/>
    <s v="C3"/>
    <n v="1"/>
    <n v="1"/>
    <n v="1"/>
    <x v="0"/>
    <n v="1"/>
    <n v="1"/>
    <n v="1"/>
  </r>
  <r>
    <s v="T3-L4-Z15_MC-C4"/>
    <x v="0"/>
    <x v="0"/>
    <s v="Z15_MC"/>
    <x v="0"/>
    <s v="C4"/>
    <n v="1"/>
    <n v="1"/>
    <n v="1"/>
    <x v="0"/>
    <n v="1"/>
    <n v="1"/>
    <n v="1"/>
  </r>
  <r>
    <s v="T3-L4-Z15_MC-C5"/>
    <x v="0"/>
    <x v="0"/>
    <s v="Z15_MC"/>
    <x v="0"/>
    <s v="C5"/>
    <n v="1"/>
    <n v="1"/>
    <n v="1"/>
    <x v="0"/>
    <n v="1"/>
    <n v="1"/>
    <n v="1"/>
  </r>
  <r>
    <s v="T3-L4-Z15_MC-C6"/>
    <x v="0"/>
    <x v="0"/>
    <s v="Z15_MC"/>
    <x v="0"/>
    <s v="C6"/>
    <n v="1"/>
    <n v="1"/>
    <n v="1"/>
    <x v="0"/>
    <n v="1"/>
    <n v="1"/>
    <n v="1"/>
  </r>
  <r>
    <s v="T3-L4-Z16_MC-C1"/>
    <x v="0"/>
    <x v="0"/>
    <s v="Z16_MC"/>
    <x v="0"/>
    <s v="C1"/>
    <n v="1"/>
    <n v="1"/>
    <n v="1"/>
    <x v="0"/>
    <n v="1"/>
    <n v="1"/>
    <n v="1"/>
  </r>
  <r>
    <s v="T3-L4-Z16_MC-C2"/>
    <x v="0"/>
    <x v="0"/>
    <s v="Z16_MC"/>
    <x v="0"/>
    <s v="C2"/>
    <n v="1"/>
    <n v="1"/>
    <n v="1"/>
    <x v="0"/>
    <n v="1"/>
    <n v="1"/>
    <n v="1"/>
  </r>
  <r>
    <s v="T3-L4-Z16_MC-C3"/>
    <x v="0"/>
    <x v="0"/>
    <s v="Z16_MC"/>
    <x v="0"/>
    <s v="C3"/>
    <n v="1"/>
    <n v="1"/>
    <n v="1"/>
    <x v="0"/>
    <n v="1"/>
    <n v="1"/>
    <n v="1"/>
  </r>
  <r>
    <s v="T3-L4-Z16_MC-C4"/>
    <x v="0"/>
    <x v="0"/>
    <s v="Z16_MC"/>
    <x v="0"/>
    <s v="C4"/>
    <n v="1"/>
    <n v="1"/>
    <n v="1"/>
    <x v="0"/>
    <n v="1"/>
    <n v="1"/>
    <n v="1"/>
  </r>
  <r>
    <s v="T3-L4-Z16_MC-C5"/>
    <x v="0"/>
    <x v="0"/>
    <s v="Z16_MC"/>
    <x v="0"/>
    <s v="C5"/>
    <n v="1"/>
    <n v="1"/>
    <n v="1"/>
    <x v="0"/>
    <n v="1"/>
    <n v="1"/>
    <n v="1"/>
  </r>
  <r>
    <s v="T3-L4-Z16_MC-C6"/>
    <x v="0"/>
    <x v="0"/>
    <s v="Z16_MC"/>
    <x v="0"/>
    <s v="C6"/>
    <n v="1"/>
    <n v="1"/>
    <n v="1"/>
    <x v="0"/>
    <n v="1"/>
    <n v="1"/>
    <n v="1"/>
  </r>
  <r>
    <s v="T3-L4-Z16_MC-C7"/>
    <x v="0"/>
    <x v="0"/>
    <s v="Z16_MC"/>
    <x v="0"/>
    <s v="C7"/>
    <n v="1"/>
    <n v="1"/>
    <n v="1"/>
    <x v="0"/>
    <n v="1"/>
    <n v="1"/>
    <n v="1"/>
  </r>
  <r>
    <s v="T3-L4-Z16_MC-C8"/>
    <x v="0"/>
    <x v="0"/>
    <s v="Z16_MC"/>
    <x v="0"/>
    <s v="C8"/>
    <n v="1"/>
    <n v="1"/>
    <n v="1"/>
    <x v="0"/>
    <n v="1"/>
    <n v="1"/>
    <n v="1"/>
  </r>
  <r>
    <s v="T3-L4-Z16_MC-C9"/>
    <x v="0"/>
    <x v="0"/>
    <s v="Z16_MC"/>
    <x v="0"/>
    <s v="C9"/>
    <n v="1"/>
    <n v="1"/>
    <n v="1"/>
    <x v="0"/>
    <n v="1"/>
    <n v="1"/>
    <n v="1"/>
  </r>
  <r>
    <s v="T3-L4-Z16_MC-C10"/>
    <x v="0"/>
    <x v="0"/>
    <s v="Z16_MC"/>
    <x v="0"/>
    <s v="C10"/>
    <n v="1"/>
    <n v="1"/>
    <n v="1"/>
    <x v="0"/>
    <n v="1"/>
    <n v="1"/>
    <n v="1"/>
  </r>
  <r>
    <s v="T3-L4-Z16_MC-C11"/>
    <x v="0"/>
    <x v="0"/>
    <s v="Z16_MC"/>
    <x v="0"/>
    <s v="C11"/>
    <n v="1"/>
    <n v="1"/>
    <n v="1"/>
    <x v="0"/>
    <n v="1"/>
    <n v="1"/>
    <n v="1"/>
  </r>
  <r>
    <s v="T3-L4-Z16_MC-C12"/>
    <x v="0"/>
    <x v="0"/>
    <s v="Z16_MC"/>
    <x v="0"/>
    <s v="C12"/>
    <n v="1"/>
    <n v="1"/>
    <n v="1"/>
    <x v="0"/>
    <n v="1"/>
    <n v="1"/>
    <n v="1"/>
  </r>
  <r>
    <s v="T3-L4-Z16_MC-C13"/>
    <x v="0"/>
    <x v="0"/>
    <s v="Z16_MC"/>
    <x v="0"/>
    <s v="C13"/>
    <n v="1"/>
    <n v="1"/>
    <n v="1"/>
    <x v="0"/>
    <n v="1"/>
    <n v="1"/>
    <n v="1"/>
  </r>
  <r>
    <s v="T3-L4-Z16_MC-C14"/>
    <x v="0"/>
    <x v="0"/>
    <s v="Z16_MC"/>
    <x v="0"/>
    <s v="C14"/>
    <n v="1"/>
    <n v="1"/>
    <n v="1"/>
    <x v="0"/>
    <n v="1"/>
    <n v="1"/>
    <n v="1"/>
  </r>
  <r>
    <s v="T3-L4-Z16_MC-C15"/>
    <x v="0"/>
    <x v="0"/>
    <s v="Z16_MC"/>
    <x v="0"/>
    <s v="C15"/>
    <n v="1"/>
    <n v="1"/>
    <n v="1"/>
    <x v="0"/>
    <n v="1"/>
    <n v="1"/>
    <n v="1"/>
  </r>
  <r>
    <s v="T3-L4-Z16_MC-C16"/>
    <x v="0"/>
    <x v="0"/>
    <s v="Z16_MC"/>
    <x v="0"/>
    <s v="C16"/>
    <n v="1"/>
    <n v="1"/>
    <n v="1"/>
    <x v="0"/>
    <n v="1"/>
    <n v="1"/>
    <n v="1"/>
  </r>
  <r>
    <s v="T3-L4-Z16_MC-C17"/>
    <x v="0"/>
    <x v="0"/>
    <s v="Z16_MC"/>
    <x v="0"/>
    <s v="C17"/>
    <n v="1"/>
    <n v="1"/>
    <n v="1"/>
    <x v="0"/>
    <n v="1"/>
    <n v="1"/>
    <n v="1"/>
  </r>
  <r>
    <s v="T3-L4-Z16_MC-C18"/>
    <x v="0"/>
    <x v="0"/>
    <s v="Z16_MC"/>
    <x v="0"/>
    <s v="C18"/>
    <n v="1"/>
    <n v="1"/>
    <n v="1"/>
    <x v="0"/>
    <n v="1"/>
    <n v="1"/>
    <n v="1"/>
  </r>
  <r>
    <s v="T3-L4-Z16_MC-C19"/>
    <x v="0"/>
    <x v="0"/>
    <s v="Z16_MC"/>
    <x v="0"/>
    <s v="C19"/>
    <n v="1"/>
    <n v="1"/>
    <n v="1"/>
    <x v="0"/>
    <n v="1"/>
    <n v="1"/>
    <n v="1"/>
  </r>
  <r>
    <s v="T3-L4-Z16_MC-C20"/>
    <x v="0"/>
    <x v="0"/>
    <s v="Z16_MC"/>
    <x v="0"/>
    <s v="C20"/>
    <n v="1"/>
    <n v="1"/>
    <n v="1"/>
    <x v="0"/>
    <n v="1"/>
    <n v="1"/>
    <n v="1"/>
  </r>
  <r>
    <s v="T3-L4-Z16_MC-C21"/>
    <x v="0"/>
    <x v="0"/>
    <s v="Z16_MC"/>
    <x v="0"/>
    <s v="C21"/>
    <n v="1"/>
    <n v="1"/>
    <n v="1"/>
    <x v="0"/>
    <n v="1"/>
    <n v="1"/>
    <n v="1"/>
  </r>
  <r>
    <s v="T3-L4-Z16_MC-C22"/>
    <x v="0"/>
    <x v="0"/>
    <s v="Z16_MC"/>
    <x v="0"/>
    <s v="C22"/>
    <n v="1"/>
    <n v="1"/>
    <n v="1"/>
    <x v="0"/>
    <n v="1"/>
    <n v="1"/>
    <n v="1"/>
  </r>
  <r>
    <s v="T3-L4-Z16_MC-C23"/>
    <x v="0"/>
    <x v="0"/>
    <s v="Z16_MC"/>
    <x v="0"/>
    <s v="C23"/>
    <n v="1"/>
    <n v="1"/>
    <n v="1"/>
    <x v="0"/>
    <n v="1"/>
    <n v="1"/>
    <n v="1"/>
  </r>
  <r>
    <s v="T3-L4-Z17_MC-C1"/>
    <x v="0"/>
    <x v="0"/>
    <s v="Z17_MC"/>
    <x v="0"/>
    <s v="C1"/>
    <n v="1"/>
    <n v="1"/>
    <n v="1"/>
    <x v="0"/>
    <n v="1"/>
    <n v="1"/>
    <n v="1"/>
  </r>
  <r>
    <s v="T3-L4-Z17_MC-C2"/>
    <x v="0"/>
    <x v="0"/>
    <s v="Z17_MC"/>
    <x v="0"/>
    <s v="C2"/>
    <m/>
    <m/>
    <m/>
    <x v="0"/>
    <n v="1"/>
    <n v="1"/>
    <n v="1"/>
  </r>
  <r>
    <s v="T3-L4-Z17_MC-C3"/>
    <x v="0"/>
    <x v="0"/>
    <s v="Z17_MC"/>
    <x v="0"/>
    <s v="C3"/>
    <m/>
    <m/>
    <m/>
    <x v="0"/>
    <n v="1"/>
    <n v="1"/>
    <n v="1"/>
  </r>
  <r>
    <s v="T3-L4-Z17_MC-C4"/>
    <x v="0"/>
    <x v="0"/>
    <s v="Z17_MC"/>
    <x v="0"/>
    <s v="C4"/>
    <m/>
    <m/>
    <m/>
    <x v="0"/>
    <n v="1"/>
    <n v="1"/>
    <n v="1"/>
  </r>
  <r>
    <s v="T3-L4-Z17_MC-C5"/>
    <x v="0"/>
    <x v="0"/>
    <s v="Z17_MC"/>
    <x v="0"/>
    <s v="C5"/>
    <n v="1"/>
    <n v="1"/>
    <n v="1"/>
    <x v="0"/>
    <n v="1"/>
    <n v="1"/>
    <n v="1"/>
  </r>
  <r>
    <s v="T3-L4-Z17_MC-C6"/>
    <x v="0"/>
    <x v="0"/>
    <s v="Z17_MC"/>
    <x v="0"/>
    <s v="C6"/>
    <n v="1"/>
    <n v="1"/>
    <n v="1"/>
    <x v="0"/>
    <n v="1"/>
    <n v="1"/>
    <n v="1"/>
  </r>
  <r>
    <s v="T3-L4-Z17_MC-C7"/>
    <x v="0"/>
    <x v="0"/>
    <s v="Z17_MC"/>
    <x v="0"/>
    <s v="C7"/>
    <n v="1"/>
    <n v="1"/>
    <n v="1"/>
    <x v="0"/>
    <n v="1"/>
    <n v="1"/>
    <n v="1"/>
  </r>
  <r>
    <s v="T3-L4-Z17_MC-C8"/>
    <x v="0"/>
    <x v="0"/>
    <s v="Z17_MC"/>
    <x v="0"/>
    <s v="C8"/>
    <n v="1"/>
    <n v="1"/>
    <n v="1"/>
    <x v="0"/>
    <n v="1"/>
    <n v="1"/>
    <n v="1"/>
  </r>
  <r>
    <s v="T3-L4-Z17_MC-C9"/>
    <x v="0"/>
    <x v="0"/>
    <s v="Z17_MC"/>
    <x v="0"/>
    <s v="C9"/>
    <m/>
    <m/>
    <m/>
    <x v="0"/>
    <n v="1"/>
    <n v="1"/>
    <n v="1"/>
  </r>
  <r>
    <s v="T3-L4-Z17_MC-C10"/>
    <x v="0"/>
    <x v="0"/>
    <s v="Z17_MC"/>
    <x v="0"/>
    <s v="C10"/>
    <m/>
    <m/>
    <m/>
    <x v="0"/>
    <n v="1"/>
    <n v="1"/>
    <n v="1"/>
  </r>
  <r>
    <s v="T3-L4-Z17_MC-C11"/>
    <x v="0"/>
    <x v="0"/>
    <s v="Z17_MC"/>
    <x v="0"/>
    <s v="C11"/>
    <m/>
    <m/>
    <m/>
    <x v="0"/>
    <n v="1"/>
    <n v="1"/>
    <n v="1"/>
  </r>
  <r>
    <s v="T3-L4-Z17_MC-C12"/>
    <x v="0"/>
    <x v="0"/>
    <s v="Z17_MC"/>
    <x v="0"/>
    <s v="C12"/>
    <m/>
    <m/>
    <m/>
    <x v="0"/>
    <n v="1"/>
    <n v="1"/>
    <n v="1"/>
  </r>
  <r>
    <s v="T3-L4-Z19_MC-C1"/>
    <x v="0"/>
    <x v="0"/>
    <s v="Z19_MC"/>
    <x v="0"/>
    <s v="C1"/>
    <m/>
    <m/>
    <m/>
    <x v="0"/>
    <n v="1"/>
    <n v="1"/>
    <n v="1"/>
  </r>
  <r>
    <s v="T3-L4-Z19_MC-C2"/>
    <x v="0"/>
    <x v="0"/>
    <s v="Z19_MC"/>
    <x v="0"/>
    <s v="C2"/>
    <m/>
    <m/>
    <m/>
    <x v="0"/>
    <n v="1"/>
    <n v="1"/>
    <n v="1"/>
  </r>
  <r>
    <s v="T3-L4-Z19_MC-C3"/>
    <x v="0"/>
    <x v="0"/>
    <s v="Z19_MC"/>
    <x v="0"/>
    <s v="C3"/>
    <m/>
    <m/>
    <m/>
    <x v="0"/>
    <n v="1"/>
    <n v="1"/>
    <n v="1"/>
  </r>
  <r>
    <s v="T3-L4-Z19_MC-C4"/>
    <x v="0"/>
    <x v="0"/>
    <s v="Z19_MC"/>
    <x v="0"/>
    <s v="C4"/>
    <m/>
    <m/>
    <m/>
    <x v="0"/>
    <n v="1"/>
    <n v="1"/>
    <n v="1"/>
  </r>
  <r>
    <s v="T3-L4-Z19_MC-C5"/>
    <x v="0"/>
    <x v="0"/>
    <s v="Z19_MC"/>
    <x v="0"/>
    <s v="C5"/>
    <m/>
    <m/>
    <m/>
    <x v="0"/>
    <n v="1"/>
    <n v="1"/>
    <n v="1"/>
  </r>
  <r>
    <s v="T3-L4-Z19_MC-C6"/>
    <x v="0"/>
    <x v="0"/>
    <s v="Z19_MC"/>
    <x v="0"/>
    <s v="C6"/>
    <m/>
    <m/>
    <m/>
    <x v="0"/>
    <n v="1"/>
    <n v="1"/>
    <n v="1"/>
  </r>
  <r>
    <s v="T3-L4-Z19_MC-C7"/>
    <x v="0"/>
    <x v="0"/>
    <s v="Z19_MC"/>
    <x v="0"/>
    <s v="C7"/>
    <m/>
    <m/>
    <m/>
    <x v="0"/>
    <n v="1"/>
    <n v="1"/>
    <n v="1"/>
  </r>
  <r>
    <s v="T3-L4-Z19_MC-C8"/>
    <x v="0"/>
    <x v="0"/>
    <s v="Z19_MC"/>
    <x v="0"/>
    <s v="C8"/>
    <m/>
    <m/>
    <m/>
    <x v="0"/>
    <n v="1"/>
    <n v="1"/>
    <n v="1"/>
  </r>
  <r>
    <s v="T3-L4-Z19_MC-C9"/>
    <x v="0"/>
    <x v="0"/>
    <s v="Z19_MC"/>
    <x v="0"/>
    <s v="C9"/>
    <m/>
    <m/>
    <m/>
    <x v="0"/>
    <n v="1"/>
    <n v="1"/>
    <n v="1"/>
  </r>
  <r>
    <s v="T3-L4-Z19_MC-C10"/>
    <x v="0"/>
    <x v="0"/>
    <s v="Z19_MC"/>
    <x v="0"/>
    <s v="C10"/>
    <m/>
    <m/>
    <m/>
    <x v="0"/>
    <n v="1"/>
    <n v="1"/>
    <n v="1"/>
  </r>
  <r>
    <s v="T3-L4-Z19_MC-C11"/>
    <x v="0"/>
    <x v="0"/>
    <s v="Z19_MC"/>
    <x v="0"/>
    <s v="C11"/>
    <m/>
    <m/>
    <m/>
    <x v="0"/>
    <n v="1"/>
    <n v="1"/>
    <n v="1"/>
  </r>
  <r>
    <s v="T3-L4-Z19_MC-C12"/>
    <x v="0"/>
    <x v="0"/>
    <s v="Z19_MC"/>
    <x v="0"/>
    <s v="C12"/>
    <m/>
    <m/>
    <m/>
    <x v="0"/>
    <n v="1"/>
    <n v="1"/>
    <n v="1"/>
  </r>
  <r>
    <s v="T3-L4-Polyesterene-C1"/>
    <x v="0"/>
    <x v="0"/>
    <s v="Polyesterene"/>
    <x v="0"/>
    <s v="C1"/>
    <n v="0"/>
    <n v="0"/>
    <n v="0"/>
    <x v="2"/>
    <n v="0"/>
    <n v="0"/>
    <n v="0"/>
  </r>
  <r>
    <s v="T3-L4-Polyesterene-C2"/>
    <x v="0"/>
    <x v="0"/>
    <s v="Polyesterene"/>
    <x v="0"/>
    <s v="C2"/>
    <n v="0"/>
    <n v="0"/>
    <n v="0"/>
    <x v="2"/>
    <n v="0"/>
    <n v="0"/>
    <n v="0"/>
  </r>
  <r>
    <s v="T3-L4-Polyesterene-C3"/>
    <x v="0"/>
    <x v="0"/>
    <s v="Polyesterene"/>
    <x v="0"/>
    <s v="C3"/>
    <n v="0"/>
    <n v="0"/>
    <n v="0"/>
    <x v="2"/>
    <n v="0"/>
    <n v="0"/>
    <n v="0"/>
  </r>
  <r>
    <s v="T3-L4-Polyesterene-C4"/>
    <x v="0"/>
    <x v="0"/>
    <s v="Polyesterene"/>
    <x v="0"/>
    <s v="C4"/>
    <n v="0"/>
    <n v="0"/>
    <n v="0"/>
    <x v="2"/>
    <n v="0"/>
    <n v="0"/>
    <n v="0"/>
  </r>
  <r>
    <s v="T3-L4-Polyesterene-C5"/>
    <x v="0"/>
    <x v="0"/>
    <s v="Polyesterene"/>
    <x v="0"/>
    <s v="C5"/>
    <n v="0"/>
    <n v="0"/>
    <n v="0"/>
    <x v="2"/>
    <n v="0"/>
    <n v="0"/>
    <n v="0"/>
  </r>
  <r>
    <s v="T3-L4-Polyesterene-C6"/>
    <x v="0"/>
    <x v="0"/>
    <s v="Polyesterene"/>
    <x v="0"/>
    <s v="C6"/>
    <n v="0"/>
    <n v="0"/>
    <n v="0"/>
    <x v="2"/>
    <n v="0"/>
    <n v="0"/>
    <n v="0"/>
  </r>
  <r>
    <s v="T3-L4-Polyesterene-C7"/>
    <x v="0"/>
    <x v="0"/>
    <s v="Polyesterene"/>
    <x v="0"/>
    <s v="C7"/>
    <n v="0"/>
    <n v="0"/>
    <n v="0"/>
    <x v="2"/>
    <n v="0"/>
    <n v="0"/>
    <n v="0"/>
  </r>
  <r>
    <s v="T3-L4-Polyesterene-C8"/>
    <x v="0"/>
    <x v="0"/>
    <s v="Polyesterene"/>
    <x v="0"/>
    <s v="C8"/>
    <n v="0"/>
    <n v="0"/>
    <n v="0"/>
    <x v="2"/>
    <n v="0"/>
    <n v="0"/>
    <n v="0"/>
  </r>
  <r>
    <s v="T3-L4-Polyesterene-C9"/>
    <x v="0"/>
    <x v="0"/>
    <s v="Polyesterene"/>
    <x v="0"/>
    <s v="C9"/>
    <n v="0"/>
    <n v="0"/>
    <n v="0"/>
    <x v="2"/>
    <n v="0"/>
    <n v="0"/>
    <n v="0"/>
  </r>
  <r>
    <s v="T3-L4-Polyesterene-C10"/>
    <x v="0"/>
    <x v="0"/>
    <s v="Polyesterene"/>
    <x v="0"/>
    <s v="C10"/>
    <n v="0"/>
    <n v="0"/>
    <n v="0"/>
    <x v="2"/>
    <n v="0"/>
    <n v="0"/>
    <n v="0"/>
  </r>
  <r>
    <s v="T3-L4-Polyesterene-C11"/>
    <x v="0"/>
    <x v="0"/>
    <s v="Polyesterene"/>
    <x v="0"/>
    <s v="C11"/>
    <n v="0"/>
    <n v="0"/>
    <n v="0"/>
    <x v="2"/>
    <n v="0"/>
    <n v="0"/>
    <n v="0"/>
  </r>
  <r>
    <s v="T3-L4-Polyesterene-C12"/>
    <x v="0"/>
    <x v="0"/>
    <s v="Polyesterene"/>
    <x v="0"/>
    <s v="C12"/>
    <n v="0"/>
    <n v="0"/>
    <n v="0"/>
    <x v="2"/>
    <n v="0"/>
    <n v="0"/>
    <n v="0"/>
  </r>
  <r>
    <s v="T3-L4-Polyesterene-C13"/>
    <x v="0"/>
    <x v="0"/>
    <s v="Polyesterene"/>
    <x v="0"/>
    <s v="C13"/>
    <n v="0"/>
    <n v="0"/>
    <n v="0"/>
    <x v="2"/>
    <n v="0"/>
    <n v="0"/>
    <n v="0"/>
  </r>
  <r>
    <s v="T3-L4-Polyesterene-C14"/>
    <x v="0"/>
    <x v="0"/>
    <s v="Polyesterene"/>
    <x v="0"/>
    <s v="C14"/>
    <n v="0"/>
    <n v="0"/>
    <n v="0"/>
    <x v="2"/>
    <n v="0"/>
    <n v="0"/>
    <n v="0"/>
  </r>
  <r>
    <s v="T3-L4-Polyesterene-C15"/>
    <x v="0"/>
    <x v="0"/>
    <s v="Polyesterene"/>
    <x v="0"/>
    <s v="C15"/>
    <n v="0"/>
    <n v="0"/>
    <n v="0"/>
    <x v="2"/>
    <n v="0"/>
    <n v="0"/>
    <n v="0"/>
  </r>
  <r>
    <s v="T3-L4-Polyesterene-C16"/>
    <x v="0"/>
    <x v="0"/>
    <s v="Polyesterene"/>
    <x v="0"/>
    <s v="C16"/>
    <n v="0"/>
    <n v="0"/>
    <n v="0"/>
    <x v="2"/>
    <n v="0"/>
    <n v="0"/>
    <n v="0"/>
  </r>
  <r>
    <s v="T3-L4-Polyesterene-C17"/>
    <x v="0"/>
    <x v="0"/>
    <s v="Polyesterene"/>
    <x v="0"/>
    <s v="C17"/>
    <n v="0"/>
    <n v="0"/>
    <n v="0"/>
    <x v="2"/>
    <n v="0"/>
    <n v="0"/>
    <n v="0"/>
  </r>
  <r>
    <s v="T3-L4-Polyesterene-C18"/>
    <x v="0"/>
    <x v="0"/>
    <s v="Polyesterene"/>
    <x v="0"/>
    <s v="C18"/>
    <n v="0"/>
    <n v="0"/>
    <n v="0"/>
    <x v="2"/>
    <n v="0"/>
    <n v="0"/>
    <n v="0"/>
  </r>
  <r>
    <s v="T3-L4-Polyesterene-C19"/>
    <x v="0"/>
    <x v="0"/>
    <s v="Polyesterene"/>
    <x v="0"/>
    <s v="C19"/>
    <n v="0"/>
    <n v="0"/>
    <n v="0"/>
    <x v="2"/>
    <n v="0"/>
    <n v="0"/>
    <n v="0"/>
  </r>
  <r>
    <s v="T3-L4-Polyesterene-C20"/>
    <x v="0"/>
    <x v="0"/>
    <s v="Polyesterene"/>
    <x v="0"/>
    <s v="C20"/>
    <n v="0"/>
    <n v="0"/>
    <n v="0"/>
    <x v="2"/>
    <n v="0"/>
    <n v="0"/>
    <n v="0"/>
  </r>
  <r>
    <s v="T3-L4-Polyesterene-C21"/>
    <x v="0"/>
    <x v="0"/>
    <s v="Polyesterene"/>
    <x v="0"/>
    <s v="C21"/>
    <n v="0"/>
    <n v="0"/>
    <n v="0"/>
    <x v="2"/>
    <n v="0"/>
    <n v="0"/>
    <n v="0"/>
  </r>
  <r>
    <s v="T3-L4-Polyesterene-C22"/>
    <x v="0"/>
    <x v="0"/>
    <s v="Polyesterene"/>
    <x v="0"/>
    <s v="C22"/>
    <n v="0"/>
    <n v="0"/>
    <n v="0"/>
    <x v="2"/>
    <n v="0"/>
    <n v="0"/>
    <n v="0"/>
  </r>
  <r>
    <s v="T3-L4-Polyesterene-C23"/>
    <x v="0"/>
    <x v="0"/>
    <s v="Polyesterene"/>
    <x v="0"/>
    <s v="C23"/>
    <n v="0"/>
    <n v="0"/>
    <n v="0"/>
    <x v="2"/>
    <n v="0"/>
    <n v="0"/>
    <n v="0"/>
  </r>
  <r>
    <s v="T3-L4-Polyesterene-C24"/>
    <x v="0"/>
    <x v="0"/>
    <s v="Polyesterene"/>
    <x v="0"/>
    <s v="C24"/>
    <n v="0"/>
    <n v="0"/>
    <n v="0"/>
    <x v="2"/>
    <n v="0"/>
    <n v="0"/>
    <n v="0"/>
  </r>
  <r>
    <s v="T3-L4-Polyesterene-C25"/>
    <x v="0"/>
    <x v="0"/>
    <s v="Polyesterene"/>
    <x v="0"/>
    <s v="C25"/>
    <n v="0"/>
    <n v="0"/>
    <n v="0"/>
    <x v="2"/>
    <n v="0"/>
    <n v="0"/>
    <n v="0"/>
  </r>
  <r>
    <s v="T3-L4-Polyesterene-C26"/>
    <x v="0"/>
    <x v="0"/>
    <s v="Polyesterene"/>
    <x v="0"/>
    <s v="C26"/>
    <n v="0"/>
    <n v="0"/>
    <n v="0"/>
    <x v="2"/>
    <n v="0"/>
    <n v="0"/>
    <n v="0"/>
  </r>
  <r>
    <s v="T3-L4-Polyesterene-C27"/>
    <x v="0"/>
    <x v="0"/>
    <s v="Polyesterene"/>
    <x v="0"/>
    <s v="C27"/>
    <n v="0"/>
    <n v="0"/>
    <n v="0"/>
    <x v="2"/>
    <n v="0"/>
    <n v="0"/>
    <n v="0"/>
  </r>
  <r>
    <s v="T3-L4-Polyesterene-C28"/>
    <x v="0"/>
    <x v="0"/>
    <s v="Polyesterene"/>
    <x v="0"/>
    <s v="C28"/>
    <n v="0"/>
    <n v="0"/>
    <n v="0"/>
    <x v="2"/>
    <n v="0"/>
    <n v="0"/>
    <n v="0"/>
  </r>
  <r>
    <s v="T3-L4-Polyesterene-C29"/>
    <x v="0"/>
    <x v="0"/>
    <s v="Polyesterene"/>
    <x v="0"/>
    <s v="C29"/>
    <n v="0"/>
    <n v="0"/>
    <n v="0"/>
    <x v="2"/>
    <n v="0"/>
    <n v="0"/>
    <n v="0"/>
  </r>
  <r>
    <s v="T3-L4-Polyesterene-C30"/>
    <x v="0"/>
    <x v="0"/>
    <s v="Polyesterene"/>
    <x v="0"/>
    <s v="C30"/>
    <n v="0"/>
    <n v="0"/>
    <n v="0"/>
    <x v="2"/>
    <n v="0"/>
    <n v="0"/>
    <n v="0"/>
  </r>
  <r>
    <s v="T3-L4-Polyesterene-C31"/>
    <x v="0"/>
    <x v="0"/>
    <s v="Polyesterene"/>
    <x v="0"/>
    <s v="C31"/>
    <n v="0"/>
    <n v="0"/>
    <n v="0"/>
    <x v="2"/>
    <n v="0"/>
    <n v="0"/>
    <n v="0"/>
  </r>
  <r>
    <s v="T3-L4-Polyesterene-C32"/>
    <x v="0"/>
    <x v="0"/>
    <s v="Polyesterene"/>
    <x v="0"/>
    <s v="C32"/>
    <n v="0"/>
    <n v="0"/>
    <n v="0"/>
    <x v="2"/>
    <n v="0"/>
    <n v="0"/>
    <n v="0"/>
  </r>
  <r>
    <s v="T3-L4-Polyesterene-C33"/>
    <x v="0"/>
    <x v="0"/>
    <s v="Polyesterene"/>
    <x v="0"/>
    <s v="C33"/>
    <n v="0"/>
    <n v="0"/>
    <n v="0"/>
    <x v="2"/>
    <n v="0"/>
    <n v="0"/>
    <n v="0"/>
  </r>
  <r>
    <s v="T3-L4-Polyesterene-C34"/>
    <x v="0"/>
    <x v="0"/>
    <s v="Polyesterene"/>
    <x v="0"/>
    <s v="C34"/>
    <n v="0"/>
    <n v="0"/>
    <n v="0"/>
    <x v="2"/>
    <n v="0"/>
    <n v="0"/>
    <n v="0"/>
  </r>
  <r>
    <s v="T3-L4-Polyesterene-C35"/>
    <x v="0"/>
    <x v="0"/>
    <s v="Polyesterene"/>
    <x v="0"/>
    <s v="C35"/>
    <n v="0"/>
    <n v="0"/>
    <n v="0"/>
    <x v="2"/>
    <n v="0"/>
    <n v="0"/>
    <n v="0"/>
  </r>
  <r>
    <s v="T3-L4-Polyesterene-C36"/>
    <x v="0"/>
    <x v="0"/>
    <s v="Polyesterene"/>
    <x v="0"/>
    <s v="C36"/>
    <n v="0"/>
    <n v="0"/>
    <n v="0"/>
    <x v="2"/>
    <n v="0"/>
    <n v="0"/>
    <n v="0"/>
  </r>
  <r>
    <s v="T3-L4-Polyesterene-C37"/>
    <x v="0"/>
    <x v="0"/>
    <s v="Polyesterene"/>
    <x v="0"/>
    <s v="C37"/>
    <n v="0"/>
    <n v="0"/>
    <n v="0"/>
    <x v="2"/>
    <n v="0"/>
    <n v="0"/>
    <n v="0"/>
  </r>
  <r>
    <s v="T3-L4-Polyesterene-C38"/>
    <x v="0"/>
    <x v="0"/>
    <s v="Polyesterene"/>
    <x v="0"/>
    <s v="C38"/>
    <n v="0"/>
    <n v="0"/>
    <n v="0"/>
    <x v="2"/>
    <n v="0"/>
    <n v="0"/>
    <n v="0"/>
  </r>
  <r>
    <s v="T3-L4-Polyesterene-C39"/>
    <x v="0"/>
    <x v="0"/>
    <s v="Polyesterene"/>
    <x v="0"/>
    <s v="C39"/>
    <n v="0"/>
    <n v="0"/>
    <n v="0"/>
    <x v="2"/>
    <n v="0"/>
    <n v="0"/>
    <n v="0"/>
  </r>
  <r>
    <s v="T3-L4-Polyesterene-C40"/>
    <x v="0"/>
    <x v="0"/>
    <s v="Polyesterene"/>
    <x v="0"/>
    <s v="C40"/>
    <n v="0"/>
    <n v="0"/>
    <n v="0"/>
    <x v="2"/>
    <n v="0"/>
    <n v="0"/>
    <n v="0"/>
  </r>
  <r>
    <s v="T3-L4-Polyesterene-C41"/>
    <x v="0"/>
    <x v="0"/>
    <s v="Polyesterene"/>
    <x v="0"/>
    <s v="C41"/>
    <n v="0"/>
    <n v="0"/>
    <n v="0"/>
    <x v="2"/>
    <n v="0"/>
    <n v="0"/>
    <n v="0"/>
  </r>
  <r>
    <s v="T3-L4-Polyesterene-C42"/>
    <x v="0"/>
    <x v="0"/>
    <s v="Polyesterene"/>
    <x v="0"/>
    <s v="C42"/>
    <n v="0"/>
    <n v="0"/>
    <n v="0"/>
    <x v="2"/>
    <n v="0"/>
    <n v="0"/>
    <n v="0"/>
  </r>
  <r>
    <s v="T3-L4-Polyesterene-C43"/>
    <x v="0"/>
    <x v="0"/>
    <s v="Polyesterene"/>
    <x v="0"/>
    <s v="C43"/>
    <n v="0"/>
    <n v="0"/>
    <n v="0"/>
    <x v="2"/>
    <n v="0"/>
    <n v="0"/>
    <n v="0"/>
  </r>
  <r>
    <s v="T3-L4-Polyesterene-C44"/>
    <x v="0"/>
    <x v="0"/>
    <s v="Polyesterene"/>
    <x v="0"/>
    <s v="C44"/>
    <n v="0"/>
    <n v="0"/>
    <n v="0"/>
    <x v="2"/>
    <n v="0"/>
    <n v="0"/>
    <n v="0"/>
  </r>
  <r>
    <s v="T3-L4-Polyesterene-C45"/>
    <x v="0"/>
    <x v="0"/>
    <s v="Polyesterene"/>
    <x v="0"/>
    <s v="C45"/>
    <n v="0"/>
    <n v="0"/>
    <n v="0"/>
    <x v="2"/>
    <n v="0"/>
    <n v="0"/>
    <n v="0"/>
  </r>
  <r>
    <s v="T4-L1-Z6-C1"/>
    <x v="1"/>
    <x v="2"/>
    <s v="Z6"/>
    <x v="1"/>
    <s v="C1"/>
    <n v="1"/>
    <n v="1"/>
    <n v="1"/>
    <x v="1"/>
    <n v="1"/>
    <n v="1"/>
    <n v="1"/>
  </r>
  <r>
    <s v="T4-L1-Z6-C2"/>
    <x v="1"/>
    <x v="2"/>
    <s v="Z6"/>
    <x v="1"/>
    <s v="C2"/>
    <n v="1"/>
    <n v="1"/>
    <n v="1"/>
    <x v="1"/>
    <n v="1"/>
    <n v="1"/>
    <n v="1"/>
  </r>
  <r>
    <s v="T4-L1-Z6-C3"/>
    <x v="1"/>
    <x v="2"/>
    <s v="Z6"/>
    <x v="1"/>
    <s v="C3"/>
    <n v="1"/>
    <n v="1"/>
    <n v="1"/>
    <x v="1"/>
    <n v="1"/>
    <n v="1"/>
    <n v="1"/>
  </r>
  <r>
    <s v="T4-L1-Z6-C4"/>
    <x v="1"/>
    <x v="2"/>
    <s v="Z6"/>
    <x v="1"/>
    <s v="C4"/>
    <n v="1"/>
    <n v="1"/>
    <n v="1"/>
    <x v="1"/>
    <n v="1"/>
    <n v="1"/>
    <n v="1"/>
  </r>
  <r>
    <s v="T4-L1-Z6-C5"/>
    <x v="1"/>
    <x v="2"/>
    <s v="Z6"/>
    <x v="1"/>
    <s v="C5"/>
    <n v="1"/>
    <n v="1"/>
    <n v="1"/>
    <x v="1"/>
    <n v="1"/>
    <n v="1"/>
    <n v="1"/>
  </r>
  <r>
    <s v="T4-L1-Z6-C6"/>
    <x v="1"/>
    <x v="2"/>
    <s v="Z6"/>
    <x v="1"/>
    <s v="C6"/>
    <n v="1"/>
    <n v="1"/>
    <n v="1"/>
    <x v="1"/>
    <n v="1"/>
    <n v="1"/>
    <n v="1"/>
  </r>
  <r>
    <s v="T4-L1-Z6-C7"/>
    <x v="1"/>
    <x v="2"/>
    <s v="Z6"/>
    <x v="1"/>
    <s v="C7"/>
    <n v="1"/>
    <n v="1"/>
    <n v="1"/>
    <x v="1"/>
    <n v="1"/>
    <n v="1"/>
    <n v="1"/>
  </r>
  <r>
    <s v="T4-L1-Z6-C8"/>
    <x v="1"/>
    <x v="2"/>
    <s v="Z6"/>
    <x v="1"/>
    <s v="C8"/>
    <n v="1"/>
    <n v="1"/>
    <n v="1"/>
    <x v="1"/>
    <n v="1"/>
    <n v="1"/>
    <n v="1"/>
  </r>
  <r>
    <s v="T4-L1-Z6-C9"/>
    <x v="1"/>
    <x v="2"/>
    <s v="Z6"/>
    <x v="1"/>
    <s v="C9"/>
    <n v="1"/>
    <n v="1"/>
    <n v="1"/>
    <x v="1"/>
    <n v="1"/>
    <n v="1"/>
    <n v="1"/>
  </r>
  <r>
    <s v="T4-L1-Z6-C10"/>
    <x v="1"/>
    <x v="2"/>
    <s v="Z6"/>
    <x v="1"/>
    <s v="C10"/>
    <n v="1"/>
    <n v="1"/>
    <n v="1"/>
    <x v="1"/>
    <n v="1"/>
    <n v="1"/>
    <n v="1"/>
  </r>
  <r>
    <s v="T4-L1-Z6-C11"/>
    <x v="1"/>
    <x v="2"/>
    <s v="Z6"/>
    <x v="1"/>
    <s v="C11"/>
    <n v="1"/>
    <n v="1"/>
    <n v="1"/>
    <x v="1"/>
    <n v="1"/>
    <n v="1"/>
    <n v="1"/>
  </r>
  <r>
    <s v="T4-L1-Z6-C12"/>
    <x v="1"/>
    <x v="2"/>
    <s v="Z6"/>
    <x v="1"/>
    <s v="C12"/>
    <n v="1"/>
    <n v="1"/>
    <n v="1"/>
    <x v="1"/>
    <n v="1"/>
    <n v="1"/>
    <n v="1"/>
  </r>
  <r>
    <s v="T4-L1-Z6-C13"/>
    <x v="1"/>
    <x v="2"/>
    <s v="Z6"/>
    <x v="1"/>
    <s v="C13"/>
    <n v="1"/>
    <n v="1"/>
    <n v="1"/>
    <x v="1"/>
    <n v="1"/>
    <n v="1"/>
    <n v="1"/>
  </r>
  <r>
    <s v="T4-L1-Z6-C14"/>
    <x v="1"/>
    <x v="2"/>
    <s v="Z6"/>
    <x v="1"/>
    <s v="C14"/>
    <n v="1"/>
    <n v="1"/>
    <n v="1"/>
    <x v="1"/>
    <n v="1"/>
    <n v="1"/>
    <n v="1"/>
  </r>
  <r>
    <s v="T4-L1-Z6-C15"/>
    <x v="1"/>
    <x v="2"/>
    <s v="Z6"/>
    <x v="1"/>
    <s v="C15"/>
    <n v="1"/>
    <n v="1"/>
    <n v="1"/>
    <x v="1"/>
    <n v="1"/>
    <n v="1"/>
    <n v="1"/>
  </r>
  <r>
    <s v="T4-L1-Z6-C16"/>
    <x v="1"/>
    <x v="2"/>
    <s v="Z6"/>
    <x v="1"/>
    <s v="C16"/>
    <n v="1"/>
    <n v="1"/>
    <n v="1"/>
    <x v="1"/>
    <n v="1"/>
    <n v="1"/>
    <n v="1"/>
  </r>
  <r>
    <s v="T4-L1-Z7.1-C1"/>
    <x v="1"/>
    <x v="2"/>
    <s v="Z7.1"/>
    <x v="1"/>
    <s v="C1"/>
    <n v="1"/>
    <n v="1"/>
    <n v="1"/>
    <x v="1"/>
    <n v="1"/>
    <n v="1"/>
    <n v="1"/>
  </r>
  <r>
    <s v="T4-L1-Z7.1-C2"/>
    <x v="1"/>
    <x v="2"/>
    <s v="Z7.1"/>
    <x v="1"/>
    <s v="C2"/>
    <n v="1"/>
    <n v="1"/>
    <n v="1"/>
    <x v="1"/>
    <n v="1"/>
    <n v="1"/>
    <n v="1"/>
  </r>
  <r>
    <s v="T4-L1-Z7-C1"/>
    <x v="1"/>
    <x v="2"/>
    <s v="Z7"/>
    <x v="1"/>
    <s v="C1"/>
    <n v="1"/>
    <n v="1"/>
    <n v="1"/>
    <x v="1"/>
    <n v="1"/>
    <n v="1"/>
    <n v="1"/>
  </r>
  <r>
    <s v="T4-L1-Z7-C2"/>
    <x v="1"/>
    <x v="2"/>
    <s v="Z7"/>
    <x v="1"/>
    <s v="C2"/>
    <n v="1"/>
    <n v="1"/>
    <n v="1"/>
    <x v="1"/>
    <n v="1"/>
    <n v="1"/>
    <n v="1"/>
  </r>
  <r>
    <s v="T4-L1-Z7-C3"/>
    <x v="1"/>
    <x v="2"/>
    <s v="Z7"/>
    <x v="1"/>
    <s v="C3"/>
    <n v="1"/>
    <n v="1"/>
    <n v="1"/>
    <x v="1"/>
    <n v="1"/>
    <n v="1"/>
    <n v="1"/>
  </r>
  <r>
    <s v="T4-L1-Z7-C4"/>
    <x v="1"/>
    <x v="2"/>
    <s v="Z7"/>
    <x v="1"/>
    <s v="C4"/>
    <n v="1"/>
    <n v="1"/>
    <n v="1"/>
    <x v="1"/>
    <n v="1"/>
    <n v="1"/>
    <n v="1"/>
  </r>
  <r>
    <s v="T4-L1-Z7-C5"/>
    <x v="1"/>
    <x v="2"/>
    <s v="Z7"/>
    <x v="1"/>
    <s v="C5"/>
    <n v="1"/>
    <n v="1"/>
    <n v="1"/>
    <x v="1"/>
    <n v="1"/>
    <n v="1"/>
    <n v="1"/>
  </r>
  <r>
    <s v="T4-L1-Z7-C6"/>
    <x v="1"/>
    <x v="2"/>
    <s v="Z7"/>
    <x v="1"/>
    <s v="C6"/>
    <n v="1"/>
    <n v="1"/>
    <n v="1"/>
    <x v="1"/>
    <n v="1"/>
    <n v="1"/>
    <n v="1"/>
  </r>
  <r>
    <s v="T4-L1-Z7-C7"/>
    <x v="1"/>
    <x v="2"/>
    <s v="Z7"/>
    <x v="1"/>
    <s v="C7"/>
    <n v="1"/>
    <n v="1"/>
    <n v="1"/>
    <x v="1"/>
    <n v="1"/>
    <n v="1"/>
    <n v="1"/>
  </r>
  <r>
    <s v="T4-L1-Z7-C8"/>
    <x v="1"/>
    <x v="2"/>
    <s v="Z7"/>
    <x v="1"/>
    <s v="C8"/>
    <n v="1"/>
    <n v="1"/>
    <n v="1"/>
    <x v="1"/>
    <n v="1"/>
    <n v="1"/>
    <n v="1"/>
  </r>
  <r>
    <s v="T4-L1-Z7-C9"/>
    <x v="1"/>
    <x v="2"/>
    <s v="Z7"/>
    <x v="1"/>
    <s v="C9"/>
    <n v="1"/>
    <n v="1"/>
    <n v="1"/>
    <x v="1"/>
    <n v="1"/>
    <n v="1"/>
    <n v="1"/>
  </r>
  <r>
    <s v="T4-L1-Z7-C10"/>
    <x v="1"/>
    <x v="2"/>
    <s v="Z7"/>
    <x v="1"/>
    <s v="C10"/>
    <n v="1"/>
    <n v="1"/>
    <n v="1"/>
    <x v="1"/>
    <n v="1"/>
    <n v="1"/>
    <n v="1"/>
  </r>
  <r>
    <s v="T4-L1-Z7-C11"/>
    <x v="1"/>
    <x v="2"/>
    <s v="Z7"/>
    <x v="1"/>
    <s v="C11"/>
    <n v="1"/>
    <n v="1"/>
    <n v="1"/>
    <x v="1"/>
    <n v="1"/>
    <n v="1"/>
    <n v="1"/>
  </r>
  <r>
    <s v="T4-L1-Z7-C12"/>
    <x v="1"/>
    <x v="2"/>
    <s v="Z7"/>
    <x v="1"/>
    <s v="C12"/>
    <n v="1"/>
    <n v="1"/>
    <n v="1"/>
    <x v="1"/>
    <n v="1"/>
    <n v="1"/>
    <n v="1"/>
  </r>
  <r>
    <s v="T4-L1-Z7-C13"/>
    <x v="1"/>
    <x v="2"/>
    <s v="Z7"/>
    <x v="1"/>
    <s v="C13"/>
    <n v="1"/>
    <n v="1"/>
    <n v="1"/>
    <x v="1"/>
    <n v="1"/>
    <n v="1"/>
    <n v="1"/>
  </r>
  <r>
    <s v="T4-L1-Z7-C14"/>
    <x v="1"/>
    <x v="2"/>
    <s v="Z7"/>
    <x v="1"/>
    <s v="C14"/>
    <n v="1"/>
    <n v="1"/>
    <n v="1"/>
    <x v="1"/>
    <n v="1"/>
    <n v="1"/>
    <n v="1"/>
  </r>
  <r>
    <s v="T4-L1-Z7-C15"/>
    <x v="1"/>
    <x v="2"/>
    <s v="Z7"/>
    <x v="1"/>
    <s v="C15"/>
    <n v="1"/>
    <n v="1"/>
    <n v="1"/>
    <x v="1"/>
    <n v="1"/>
    <n v="1"/>
    <n v="1"/>
  </r>
  <r>
    <s v="T4-L1-Z8-C1"/>
    <x v="1"/>
    <x v="2"/>
    <s v="Z8"/>
    <x v="2"/>
    <s v="C1"/>
    <n v="1"/>
    <n v="1"/>
    <n v="1"/>
    <x v="1"/>
    <n v="1"/>
    <n v="1"/>
    <n v="1"/>
  </r>
  <r>
    <s v="T4-L1-Z8-C2"/>
    <x v="1"/>
    <x v="2"/>
    <s v="Z8"/>
    <x v="2"/>
    <s v="C2"/>
    <n v="1"/>
    <n v="1"/>
    <n v="1"/>
    <x v="1"/>
    <n v="1"/>
    <n v="1"/>
    <n v="1"/>
  </r>
  <r>
    <s v="T4-L1-Z8-C3"/>
    <x v="1"/>
    <x v="2"/>
    <s v="Z8"/>
    <x v="2"/>
    <s v="C3"/>
    <n v="1"/>
    <n v="1"/>
    <n v="1"/>
    <x v="1"/>
    <n v="1"/>
    <n v="1"/>
    <n v="1"/>
  </r>
  <r>
    <s v="T4-L1-Z8-C4"/>
    <x v="1"/>
    <x v="2"/>
    <s v="Z8"/>
    <x v="2"/>
    <s v="C4"/>
    <n v="1"/>
    <n v="1"/>
    <n v="1"/>
    <x v="1"/>
    <n v="1"/>
    <n v="1"/>
    <n v="1"/>
  </r>
  <r>
    <s v="T4-L1-Z8-C5"/>
    <x v="1"/>
    <x v="2"/>
    <s v="Z8"/>
    <x v="2"/>
    <s v="C5"/>
    <n v="1"/>
    <n v="1"/>
    <n v="1"/>
    <x v="1"/>
    <n v="1"/>
    <n v="1"/>
    <n v="1"/>
  </r>
  <r>
    <s v="T4-L1-Z8-C6"/>
    <x v="1"/>
    <x v="2"/>
    <s v="Z8"/>
    <x v="2"/>
    <s v="C6"/>
    <n v="1"/>
    <n v="1"/>
    <n v="1"/>
    <x v="1"/>
    <n v="1"/>
    <n v="1"/>
    <n v="1"/>
  </r>
  <r>
    <s v="T4-L1-Z8-C7"/>
    <x v="1"/>
    <x v="2"/>
    <s v="Z8"/>
    <x v="2"/>
    <s v="C7"/>
    <n v="1"/>
    <n v="1"/>
    <n v="1"/>
    <x v="1"/>
    <n v="1"/>
    <n v="1"/>
    <n v="1"/>
  </r>
  <r>
    <s v="T4-L1-Z8-C8"/>
    <x v="1"/>
    <x v="2"/>
    <s v="Z8"/>
    <x v="2"/>
    <s v="C8"/>
    <n v="1"/>
    <n v="1"/>
    <n v="1"/>
    <x v="1"/>
    <n v="1"/>
    <n v="1"/>
    <n v="1"/>
  </r>
  <r>
    <s v="T4-L1-Z8-C9"/>
    <x v="1"/>
    <x v="2"/>
    <s v="Z8"/>
    <x v="2"/>
    <s v="C9"/>
    <n v="1"/>
    <n v="1"/>
    <n v="1"/>
    <x v="1"/>
    <n v="1"/>
    <n v="1"/>
    <n v="1"/>
  </r>
  <r>
    <s v="T4-L1-Z8-C10"/>
    <x v="1"/>
    <x v="2"/>
    <s v="Z8"/>
    <x v="2"/>
    <s v="C10"/>
    <n v="1"/>
    <n v="1"/>
    <n v="1"/>
    <x v="1"/>
    <n v="1"/>
    <n v="1"/>
    <n v="1"/>
  </r>
  <r>
    <s v="T4-L1-Z8-C11"/>
    <x v="1"/>
    <x v="2"/>
    <s v="Z8"/>
    <x v="2"/>
    <s v="C11"/>
    <n v="1"/>
    <n v="1"/>
    <n v="1"/>
    <x v="1"/>
    <n v="1"/>
    <n v="1"/>
    <n v="1"/>
  </r>
  <r>
    <s v="T4-L1-Z8-C12"/>
    <x v="1"/>
    <x v="2"/>
    <s v="Z8"/>
    <x v="2"/>
    <s v="C12"/>
    <n v="1"/>
    <n v="1"/>
    <n v="1"/>
    <x v="1"/>
    <n v="1"/>
    <n v="1"/>
    <n v="1"/>
  </r>
  <r>
    <s v="T4-L1-Z8-C13"/>
    <x v="1"/>
    <x v="2"/>
    <s v="Z8"/>
    <x v="2"/>
    <s v="C13"/>
    <n v="1"/>
    <n v="1"/>
    <n v="1"/>
    <x v="1"/>
    <n v="1"/>
    <n v="1"/>
    <n v="1"/>
  </r>
  <r>
    <s v="T4-L1-Z8-C14"/>
    <x v="1"/>
    <x v="2"/>
    <s v="Z8"/>
    <x v="2"/>
    <s v="C14"/>
    <n v="1"/>
    <n v="1"/>
    <n v="1"/>
    <x v="1"/>
    <n v="1"/>
    <n v="1"/>
    <n v="1"/>
  </r>
  <r>
    <s v="T4-L1-Z9-C1"/>
    <x v="1"/>
    <x v="2"/>
    <s v="Z9"/>
    <x v="2"/>
    <s v="C1"/>
    <n v="1"/>
    <n v="1"/>
    <n v="1"/>
    <x v="1"/>
    <n v="1"/>
    <n v="1"/>
    <n v="1"/>
  </r>
  <r>
    <s v="T4-L1-Z9-C2"/>
    <x v="1"/>
    <x v="2"/>
    <s v="Z9"/>
    <x v="2"/>
    <s v="C2"/>
    <n v="1"/>
    <n v="1"/>
    <n v="1"/>
    <x v="1"/>
    <n v="1"/>
    <n v="1"/>
    <n v="1"/>
  </r>
  <r>
    <s v="T4-L1-Z9-C3"/>
    <x v="1"/>
    <x v="2"/>
    <s v="Z9"/>
    <x v="2"/>
    <s v="C3"/>
    <n v="1"/>
    <n v="1"/>
    <n v="1"/>
    <x v="1"/>
    <n v="1"/>
    <n v="1"/>
    <n v="1"/>
  </r>
  <r>
    <s v="T4-L1-Z9-C4"/>
    <x v="1"/>
    <x v="2"/>
    <s v="Z9"/>
    <x v="2"/>
    <s v="C4"/>
    <n v="1"/>
    <n v="1"/>
    <n v="1"/>
    <x v="1"/>
    <n v="1"/>
    <n v="1"/>
    <n v="1"/>
  </r>
  <r>
    <s v="T4-L1-Z9-C5"/>
    <x v="1"/>
    <x v="2"/>
    <s v="Z9"/>
    <x v="2"/>
    <s v="C5"/>
    <n v="1"/>
    <n v="1"/>
    <n v="1"/>
    <x v="1"/>
    <n v="1"/>
    <n v="1"/>
    <n v="1"/>
  </r>
  <r>
    <s v="T4-L1-Z9-C6"/>
    <x v="1"/>
    <x v="2"/>
    <s v="Z9"/>
    <x v="2"/>
    <s v="C6"/>
    <n v="1"/>
    <n v="1"/>
    <n v="1"/>
    <x v="1"/>
    <n v="1"/>
    <n v="1"/>
    <n v="1"/>
  </r>
  <r>
    <s v="T4-L1-Z9-C7"/>
    <x v="1"/>
    <x v="2"/>
    <s v="Z9"/>
    <x v="2"/>
    <s v="C7"/>
    <n v="1"/>
    <n v="1"/>
    <n v="1"/>
    <x v="1"/>
    <n v="1"/>
    <n v="1"/>
    <n v="1"/>
  </r>
  <r>
    <s v="T4-L1-Z9-C8"/>
    <x v="1"/>
    <x v="2"/>
    <s v="Z9"/>
    <x v="2"/>
    <s v="C8"/>
    <n v="1"/>
    <n v="1"/>
    <n v="1"/>
    <x v="1"/>
    <n v="1"/>
    <n v="1"/>
    <n v="1"/>
  </r>
  <r>
    <s v="T4-L1-Z9-C9"/>
    <x v="1"/>
    <x v="2"/>
    <s v="Z9"/>
    <x v="2"/>
    <s v="C9"/>
    <n v="1"/>
    <n v="1"/>
    <n v="1"/>
    <x v="1"/>
    <n v="1"/>
    <n v="1"/>
    <n v="1"/>
  </r>
  <r>
    <s v="T4-L1-Z9-C10"/>
    <x v="1"/>
    <x v="2"/>
    <s v="Z9"/>
    <x v="2"/>
    <s v="C10"/>
    <n v="1"/>
    <n v="1"/>
    <n v="1"/>
    <x v="1"/>
    <n v="1"/>
    <n v="1"/>
    <n v="1"/>
  </r>
  <r>
    <s v="T4-L1-Z11-C1"/>
    <x v="1"/>
    <x v="2"/>
    <s v="Z11"/>
    <x v="1"/>
    <s v="C1"/>
    <n v="1"/>
    <n v="1"/>
    <n v="1"/>
    <x v="1"/>
    <n v="1"/>
    <n v="1"/>
    <n v="1"/>
  </r>
  <r>
    <s v="T4-L1-Z11-C2"/>
    <x v="1"/>
    <x v="2"/>
    <s v="Z11"/>
    <x v="1"/>
    <s v="C2"/>
    <n v="1"/>
    <n v="1"/>
    <n v="1"/>
    <x v="1"/>
    <n v="1"/>
    <n v="1"/>
    <n v="1"/>
  </r>
  <r>
    <s v="T4-L1-Z11-C3"/>
    <x v="1"/>
    <x v="2"/>
    <s v="Z11"/>
    <x v="1"/>
    <s v="C3"/>
    <n v="1"/>
    <n v="1"/>
    <n v="1"/>
    <x v="1"/>
    <n v="1"/>
    <n v="1"/>
    <n v="1"/>
  </r>
  <r>
    <s v="T4-L1-Z11-C4"/>
    <x v="1"/>
    <x v="2"/>
    <s v="Z11"/>
    <x v="1"/>
    <s v="C4"/>
    <m/>
    <m/>
    <m/>
    <x v="1"/>
    <n v="1"/>
    <n v="1"/>
    <m/>
  </r>
  <r>
    <s v="T4-L1-Z11-C5"/>
    <x v="1"/>
    <x v="2"/>
    <s v="Z11"/>
    <x v="1"/>
    <s v="C5"/>
    <m/>
    <m/>
    <m/>
    <x v="1"/>
    <n v="1"/>
    <n v="1"/>
    <m/>
  </r>
  <r>
    <s v="T4-L1-Z11-C6"/>
    <x v="1"/>
    <x v="2"/>
    <s v="Z11"/>
    <x v="1"/>
    <s v="C6"/>
    <n v="1"/>
    <n v="1"/>
    <n v="1"/>
    <x v="1"/>
    <n v="1"/>
    <n v="1"/>
    <n v="1"/>
  </r>
  <r>
    <s v="T4-L1-Z11-C7"/>
    <x v="1"/>
    <x v="2"/>
    <s v="Z11"/>
    <x v="1"/>
    <s v="C7"/>
    <m/>
    <m/>
    <m/>
    <x v="1"/>
    <n v="1"/>
    <n v="1"/>
    <m/>
  </r>
  <r>
    <s v="T4-L1-Z12-C1"/>
    <x v="1"/>
    <x v="2"/>
    <s v="Z12"/>
    <x v="1"/>
    <s v="C1"/>
    <n v="1"/>
    <n v="1"/>
    <n v="1"/>
    <x v="1"/>
    <n v="1"/>
    <n v="1"/>
    <n v="1"/>
  </r>
  <r>
    <s v="T4-L1-Z12-C2"/>
    <x v="1"/>
    <x v="2"/>
    <s v="Z12"/>
    <x v="1"/>
    <s v="C2"/>
    <n v="1"/>
    <n v="1"/>
    <n v="1"/>
    <x v="1"/>
    <n v="1"/>
    <n v="1"/>
    <n v="1"/>
  </r>
  <r>
    <s v="T4-L1-Z12-C3"/>
    <x v="1"/>
    <x v="2"/>
    <s v="Z12"/>
    <x v="1"/>
    <s v="C3"/>
    <n v="1"/>
    <n v="1"/>
    <n v="1"/>
    <x v="1"/>
    <n v="1"/>
    <n v="1"/>
    <n v="1"/>
  </r>
  <r>
    <s v="T4-L1-Z12-C4"/>
    <x v="1"/>
    <x v="2"/>
    <s v="Z12"/>
    <x v="1"/>
    <s v="C4"/>
    <n v="1"/>
    <n v="1"/>
    <n v="1"/>
    <x v="1"/>
    <n v="1"/>
    <n v="1"/>
    <n v="1"/>
  </r>
  <r>
    <s v="T4-L1-Z12-C5"/>
    <x v="1"/>
    <x v="2"/>
    <s v="Z12"/>
    <x v="1"/>
    <s v="C5"/>
    <n v="1"/>
    <n v="1"/>
    <n v="1"/>
    <x v="1"/>
    <n v="1"/>
    <n v="1"/>
    <n v="1"/>
  </r>
  <r>
    <s v="T4-L1-Z12-C6"/>
    <x v="1"/>
    <x v="2"/>
    <s v="Z12"/>
    <x v="1"/>
    <s v="C6"/>
    <n v="1"/>
    <n v="1"/>
    <n v="1"/>
    <x v="1"/>
    <n v="1"/>
    <n v="1"/>
    <n v="1"/>
  </r>
  <r>
    <s v="T4-L1-Z12-C7"/>
    <x v="1"/>
    <x v="2"/>
    <s v="Z12"/>
    <x v="1"/>
    <s v="C7"/>
    <n v="1"/>
    <n v="1"/>
    <m/>
    <x v="1"/>
    <n v="1"/>
    <n v="1"/>
    <m/>
  </r>
  <r>
    <s v="T4-L1-Z12-C8"/>
    <x v="1"/>
    <x v="2"/>
    <s v="Z12"/>
    <x v="1"/>
    <s v="C8"/>
    <n v="1"/>
    <n v="1"/>
    <n v="1"/>
    <x v="1"/>
    <n v="1"/>
    <n v="1"/>
    <n v="1"/>
  </r>
  <r>
    <s v="T4-L1-Z12-C9"/>
    <x v="1"/>
    <x v="2"/>
    <s v="Z12"/>
    <x v="1"/>
    <s v="C9"/>
    <m/>
    <m/>
    <m/>
    <x v="1"/>
    <n v="1"/>
    <n v="1"/>
    <m/>
  </r>
  <r>
    <s v="T4-L1-Z12-C10"/>
    <x v="1"/>
    <x v="2"/>
    <s v="Z12"/>
    <x v="1"/>
    <s v="C10"/>
    <m/>
    <m/>
    <m/>
    <x v="1"/>
    <n v="1"/>
    <n v="1"/>
    <m/>
  </r>
  <r>
    <s v="T4-L1-Z12-C11"/>
    <x v="1"/>
    <x v="2"/>
    <s v="Z12"/>
    <x v="1"/>
    <s v="C11"/>
    <m/>
    <m/>
    <m/>
    <x v="1"/>
    <n v="1"/>
    <n v="1"/>
    <m/>
  </r>
  <r>
    <s v="T4-L1-Z12-C12"/>
    <x v="1"/>
    <x v="2"/>
    <s v="Z12"/>
    <x v="1"/>
    <s v="C12"/>
    <m/>
    <m/>
    <m/>
    <x v="1"/>
    <n v="1"/>
    <n v="1"/>
    <m/>
  </r>
  <r>
    <s v="T4-L1-Z12-C13"/>
    <x v="1"/>
    <x v="2"/>
    <s v="Z12"/>
    <x v="1"/>
    <s v="C13"/>
    <m/>
    <m/>
    <m/>
    <x v="1"/>
    <n v="1"/>
    <n v="1"/>
    <m/>
  </r>
  <r>
    <s v="T4-L1-Z12-C14"/>
    <x v="1"/>
    <x v="2"/>
    <s v="Z12"/>
    <x v="1"/>
    <s v="C14"/>
    <m/>
    <m/>
    <m/>
    <x v="1"/>
    <n v="1"/>
    <n v="1"/>
    <m/>
  </r>
  <r>
    <s v="T4-L1-Z12-C15"/>
    <x v="1"/>
    <x v="2"/>
    <s v="Z12"/>
    <x v="1"/>
    <s v="C15"/>
    <m/>
    <m/>
    <m/>
    <x v="1"/>
    <n v="1"/>
    <n v="1"/>
    <m/>
  </r>
  <r>
    <s v="T4-L1-Z12-C16"/>
    <x v="1"/>
    <x v="2"/>
    <s v="Z12"/>
    <x v="1"/>
    <s v="C16"/>
    <m/>
    <m/>
    <m/>
    <x v="1"/>
    <n v="1"/>
    <n v="1"/>
    <m/>
  </r>
  <r>
    <s v="T4-L1-Z12-C17"/>
    <x v="1"/>
    <x v="2"/>
    <s v="Z12"/>
    <x v="1"/>
    <s v="C17"/>
    <m/>
    <m/>
    <m/>
    <x v="1"/>
    <n v="1"/>
    <n v="1"/>
    <m/>
  </r>
  <r>
    <s v="T4-L1-Z12-C18"/>
    <x v="1"/>
    <x v="2"/>
    <s v="Z12"/>
    <x v="1"/>
    <s v="C18"/>
    <n v="1"/>
    <n v="1"/>
    <n v="1"/>
    <x v="1"/>
    <n v="1"/>
    <n v="1"/>
    <n v="1"/>
  </r>
  <r>
    <s v="T4-L1-Z12-C19"/>
    <x v="1"/>
    <x v="2"/>
    <s v="Z12"/>
    <x v="1"/>
    <s v="C19"/>
    <n v="1"/>
    <n v="1"/>
    <n v="1"/>
    <x v="1"/>
    <n v="1"/>
    <n v="1"/>
    <n v="1"/>
  </r>
  <r>
    <s v="T4-L1-Z13-C1"/>
    <x v="1"/>
    <x v="2"/>
    <s v="Z13"/>
    <x v="1"/>
    <s v="C1"/>
    <n v="1"/>
    <n v="1"/>
    <n v="1"/>
    <x v="1"/>
    <n v="1"/>
    <n v="1"/>
    <n v="1"/>
  </r>
  <r>
    <s v="T4-L1-Z13-C2"/>
    <x v="1"/>
    <x v="2"/>
    <s v="Z13"/>
    <x v="1"/>
    <s v="C2"/>
    <n v="1"/>
    <n v="1"/>
    <n v="1"/>
    <x v="1"/>
    <n v="1"/>
    <n v="1"/>
    <n v="1"/>
  </r>
  <r>
    <s v="T4-L1-Z13-C3"/>
    <x v="1"/>
    <x v="2"/>
    <s v="Z13"/>
    <x v="1"/>
    <s v="C3"/>
    <n v="1"/>
    <n v="1"/>
    <n v="1"/>
    <x v="1"/>
    <n v="1"/>
    <n v="1"/>
    <n v="1"/>
  </r>
  <r>
    <s v="T4-L1-Z13-C4"/>
    <x v="1"/>
    <x v="2"/>
    <s v="Z13"/>
    <x v="1"/>
    <s v="C4"/>
    <n v="1"/>
    <n v="1"/>
    <n v="1"/>
    <x v="1"/>
    <n v="1"/>
    <n v="1"/>
    <n v="1"/>
  </r>
  <r>
    <s v="T4-L1-Z13-C5"/>
    <x v="1"/>
    <x v="2"/>
    <s v="Z13"/>
    <x v="1"/>
    <s v="C5"/>
    <n v="1"/>
    <n v="1"/>
    <n v="1"/>
    <x v="1"/>
    <n v="1"/>
    <n v="1"/>
    <n v="1"/>
  </r>
  <r>
    <s v="T4-L1-Z13-C6"/>
    <x v="1"/>
    <x v="2"/>
    <s v="Z13"/>
    <x v="1"/>
    <s v="C6"/>
    <n v="1"/>
    <n v="1"/>
    <n v="1"/>
    <x v="1"/>
    <n v="1"/>
    <n v="1"/>
    <n v="1"/>
  </r>
  <r>
    <s v="T4-L1-Z13-C7"/>
    <x v="1"/>
    <x v="2"/>
    <s v="Z13"/>
    <x v="1"/>
    <s v="C7"/>
    <n v="1"/>
    <n v="1"/>
    <n v="1"/>
    <x v="1"/>
    <n v="1"/>
    <n v="1"/>
    <n v="1"/>
  </r>
  <r>
    <s v="T4-L1-Z13-C8"/>
    <x v="1"/>
    <x v="2"/>
    <s v="Z13"/>
    <x v="1"/>
    <s v="C8"/>
    <m/>
    <m/>
    <m/>
    <x v="1"/>
    <m/>
    <m/>
    <m/>
  </r>
  <r>
    <s v="T4-L1-Z13-C9"/>
    <x v="1"/>
    <x v="2"/>
    <s v="Z13"/>
    <x v="1"/>
    <s v="C9"/>
    <m/>
    <m/>
    <m/>
    <x v="1"/>
    <m/>
    <m/>
    <m/>
  </r>
  <r>
    <s v="T4-L2-Z22-C1"/>
    <x v="1"/>
    <x v="3"/>
    <s v="Z22"/>
    <x v="3"/>
    <s v="C1"/>
    <n v="1"/>
    <n v="1"/>
    <n v="1"/>
    <x v="1"/>
    <n v="1"/>
    <n v="1"/>
    <n v="1"/>
  </r>
  <r>
    <s v="T4-L2-Z22-C2"/>
    <x v="1"/>
    <x v="3"/>
    <s v="Z22"/>
    <x v="3"/>
    <s v="C2"/>
    <n v="1"/>
    <n v="1"/>
    <n v="1"/>
    <x v="1"/>
    <n v="1"/>
    <n v="1"/>
    <n v="1"/>
  </r>
  <r>
    <s v="T4-L2-Z22-C3"/>
    <x v="1"/>
    <x v="3"/>
    <s v="Z22"/>
    <x v="3"/>
    <s v="C3"/>
    <n v="1"/>
    <n v="1"/>
    <n v="1"/>
    <x v="1"/>
    <n v="1"/>
    <n v="1"/>
    <n v="1"/>
  </r>
  <r>
    <s v="T4-L2-Z22-C4"/>
    <x v="1"/>
    <x v="3"/>
    <s v="Z22"/>
    <x v="3"/>
    <s v="C4"/>
    <n v="1"/>
    <n v="1"/>
    <n v="1"/>
    <x v="1"/>
    <n v="1"/>
    <n v="1"/>
    <n v="1"/>
  </r>
  <r>
    <s v="T4-L2-Z22-C5"/>
    <x v="1"/>
    <x v="3"/>
    <s v="Z22"/>
    <x v="3"/>
    <s v="C5"/>
    <n v="1"/>
    <n v="1"/>
    <n v="1"/>
    <x v="1"/>
    <n v="1"/>
    <n v="1"/>
    <n v="1"/>
  </r>
  <r>
    <s v="T4-L2-Z22-C6"/>
    <x v="1"/>
    <x v="3"/>
    <s v="Z22"/>
    <x v="3"/>
    <s v="C6"/>
    <n v="1"/>
    <n v="1"/>
    <n v="1"/>
    <x v="1"/>
    <n v="1"/>
    <n v="1"/>
    <n v="1"/>
  </r>
  <r>
    <s v="T4-L2-Z22-C7"/>
    <x v="1"/>
    <x v="3"/>
    <s v="Z22"/>
    <x v="3"/>
    <s v="C7"/>
    <n v="1"/>
    <n v="1"/>
    <n v="1"/>
    <x v="1"/>
    <n v="1"/>
    <n v="1"/>
    <n v="1"/>
  </r>
  <r>
    <s v="T4-L2-Z22-C8"/>
    <x v="1"/>
    <x v="3"/>
    <s v="Z22"/>
    <x v="3"/>
    <s v="C8"/>
    <n v="1"/>
    <n v="1"/>
    <n v="1"/>
    <x v="1"/>
    <n v="1"/>
    <n v="1"/>
    <n v="1"/>
  </r>
  <r>
    <s v="T4-L2-Z22-C9"/>
    <x v="1"/>
    <x v="3"/>
    <s v="Z22"/>
    <x v="3"/>
    <s v="C9"/>
    <n v="1"/>
    <n v="1"/>
    <n v="1"/>
    <x v="1"/>
    <n v="1"/>
    <n v="1"/>
    <n v="1"/>
  </r>
  <r>
    <s v="T4-L2-Z22-C10"/>
    <x v="1"/>
    <x v="3"/>
    <s v="Z22"/>
    <x v="3"/>
    <s v="C10"/>
    <n v="1"/>
    <n v="1"/>
    <n v="1"/>
    <x v="1"/>
    <n v="1"/>
    <n v="1"/>
    <n v="1"/>
  </r>
  <r>
    <s v="T4-L2-Z22-C11"/>
    <x v="1"/>
    <x v="3"/>
    <s v="Z22"/>
    <x v="3"/>
    <s v="C11"/>
    <n v="1"/>
    <n v="1"/>
    <n v="1"/>
    <x v="1"/>
    <n v="1"/>
    <n v="1"/>
    <n v="1"/>
  </r>
  <r>
    <s v="T4-L2-Z22-C12"/>
    <x v="1"/>
    <x v="3"/>
    <s v="Z22"/>
    <x v="3"/>
    <s v="C12"/>
    <n v="1"/>
    <n v="1"/>
    <n v="1"/>
    <x v="1"/>
    <n v="1"/>
    <n v="1"/>
    <n v="1"/>
  </r>
  <r>
    <s v="T4-L2-Z22-C13"/>
    <x v="1"/>
    <x v="3"/>
    <s v="Z22"/>
    <x v="3"/>
    <s v="C13"/>
    <n v="1"/>
    <n v="1"/>
    <n v="1"/>
    <x v="1"/>
    <n v="1"/>
    <n v="1"/>
    <n v="1"/>
  </r>
  <r>
    <s v="T4-L2-Z22-C14"/>
    <x v="1"/>
    <x v="3"/>
    <s v="Z22"/>
    <x v="3"/>
    <s v="C14"/>
    <n v="1"/>
    <n v="1"/>
    <n v="1"/>
    <x v="1"/>
    <n v="1"/>
    <n v="1"/>
    <n v="1"/>
  </r>
  <r>
    <s v="T4-L2-Z22-C15"/>
    <x v="1"/>
    <x v="3"/>
    <s v="Z22"/>
    <x v="3"/>
    <s v="C15"/>
    <n v="1"/>
    <n v="1"/>
    <n v="1"/>
    <x v="1"/>
    <n v="1"/>
    <n v="1"/>
    <n v="1"/>
  </r>
  <r>
    <s v="T4-L2-Z22-C16"/>
    <x v="1"/>
    <x v="3"/>
    <s v="Z22"/>
    <x v="3"/>
    <s v="C16"/>
    <n v="1"/>
    <n v="1"/>
    <n v="1"/>
    <x v="1"/>
    <n v="1"/>
    <n v="1"/>
    <n v="1"/>
  </r>
  <r>
    <s v="T4-L2-Z22-C17"/>
    <x v="1"/>
    <x v="3"/>
    <s v="Z22"/>
    <x v="3"/>
    <s v="C17"/>
    <n v="1"/>
    <n v="1"/>
    <n v="1"/>
    <x v="1"/>
    <n v="1"/>
    <n v="1"/>
    <n v="1"/>
  </r>
  <r>
    <s v="T4-L2-Z22-C18"/>
    <x v="1"/>
    <x v="3"/>
    <s v="Z22"/>
    <x v="3"/>
    <s v="C18"/>
    <n v="1"/>
    <n v="1"/>
    <n v="1"/>
    <x v="1"/>
    <n v="1"/>
    <n v="1"/>
    <n v="1"/>
  </r>
  <r>
    <s v="T4-L2-Z22-C19"/>
    <x v="1"/>
    <x v="3"/>
    <s v="Z22"/>
    <x v="3"/>
    <s v="C19"/>
    <n v="1"/>
    <n v="1"/>
    <n v="1"/>
    <x v="1"/>
    <n v="1"/>
    <n v="1"/>
    <n v="1"/>
  </r>
  <r>
    <s v="T4-L2-Z22-C20"/>
    <x v="1"/>
    <x v="3"/>
    <s v="Z22"/>
    <x v="3"/>
    <s v="C20"/>
    <n v="1"/>
    <n v="1"/>
    <n v="1"/>
    <x v="1"/>
    <n v="1"/>
    <n v="1"/>
    <n v="1"/>
  </r>
  <r>
    <s v="T4-L2-Z22-C21"/>
    <x v="1"/>
    <x v="3"/>
    <s v="Z22"/>
    <x v="3"/>
    <s v="C21"/>
    <n v="1"/>
    <n v="1"/>
    <n v="1"/>
    <x v="1"/>
    <n v="1"/>
    <n v="1"/>
    <n v="1"/>
  </r>
  <r>
    <s v="T4-L2-Z22-C22"/>
    <x v="1"/>
    <x v="3"/>
    <s v="Z22"/>
    <x v="3"/>
    <s v="C22"/>
    <n v="1"/>
    <n v="1"/>
    <n v="1"/>
    <x v="1"/>
    <n v="1"/>
    <n v="1"/>
    <n v="1"/>
  </r>
  <r>
    <s v="T4-L2-Z22-C23"/>
    <x v="1"/>
    <x v="3"/>
    <s v="Z22"/>
    <x v="3"/>
    <s v="C23"/>
    <n v="1"/>
    <n v="1"/>
    <n v="1"/>
    <x v="1"/>
    <n v="1"/>
    <n v="1"/>
    <n v="1"/>
  </r>
  <r>
    <s v="T4-L2-Z22-C24"/>
    <x v="1"/>
    <x v="3"/>
    <s v="Z22"/>
    <x v="3"/>
    <s v="C24"/>
    <n v="1"/>
    <n v="1"/>
    <n v="1"/>
    <x v="1"/>
    <n v="1"/>
    <n v="1"/>
    <n v="1"/>
  </r>
  <r>
    <s v="T4-L2-Z22-C25"/>
    <x v="1"/>
    <x v="3"/>
    <s v="Z22"/>
    <x v="3"/>
    <s v="C25"/>
    <n v="1"/>
    <n v="1"/>
    <n v="1"/>
    <x v="1"/>
    <n v="1"/>
    <n v="1"/>
    <n v="1"/>
  </r>
  <r>
    <s v="T4-L2-Z22-C26"/>
    <x v="1"/>
    <x v="3"/>
    <s v="Z22"/>
    <x v="3"/>
    <s v="C26"/>
    <n v="1"/>
    <n v="1"/>
    <n v="1"/>
    <x v="1"/>
    <n v="1"/>
    <n v="1"/>
    <n v="1"/>
  </r>
  <r>
    <s v="T4-L2-Z23-C1"/>
    <x v="1"/>
    <x v="3"/>
    <s v="Z23"/>
    <x v="3"/>
    <s v="C1"/>
    <n v="1"/>
    <n v="1"/>
    <n v="1"/>
    <x v="1"/>
    <n v="1"/>
    <n v="1"/>
    <n v="1"/>
  </r>
  <r>
    <s v="T4-L2-Z23-C2"/>
    <x v="1"/>
    <x v="3"/>
    <s v="Z23"/>
    <x v="3"/>
    <s v="C2"/>
    <n v="1"/>
    <n v="1"/>
    <n v="1"/>
    <x v="1"/>
    <n v="1"/>
    <n v="1"/>
    <n v="1"/>
  </r>
  <r>
    <s v="T4-L2-Z23-C3"/>
    <x v="1"/>
    <x v="3"/>
    <s v="Z23"/>
    <x v="3"/>
    <s v="C3"/>
    <n v="1"/>
    <n v="1"/>
    <n v="1"/>
    <x v="1"/>
    <n v="1"/>
    <n v="1"/>
    <n v="1"/>
  </r>
  <r>
    <s v="T4-L2-Z23-C4"/>
    <x v="1"/>
    <x v="3"/>
    <s v="Z23"/>
    <x v="3"/>
    <s v="C4"/>
    <n v="1"/>
    <n v="1"/>
    <n v="1"/>
    <x v="1"/>
    <n v="1"/>
    <n v="1"/>
    <n v="1"/>
  </r>
  <r>
    <s v="T4-L2-Z23-C5"/>
    <x v="1"/>
    <x v="3"/>
    <s v="Z23"/>
    <x v="3"/>
    <s v="C5"/>
    <n v="1"/>
    <n v="1"/>
    <n v="1"/>
    <x v="1"/>
    <n v="1"/>
    <n v="1"/>
    <n v="1"/>
  </r>
  <r>
    <s v="T4-L2-Z23-C6"/>
    <x v="1"/>
    <x v="3"/>
    <s v="Z23"/>
    <x v="3"/>
    <s v="C6"/>
    <n v="1"/>
    <n v="1"/>
    <n v="1"/>
    <x v="1"/>
    <n v="1"/>
    <n v="1"/>
    <n v="1"/>
  </r>
  <r>
    <s v="T4-L2-Z23-C7"/>
    <x v="1"/>
    <x v="3"/>
    <s v="Z23"/>
    <x v="3"/>
    <s v="C7"/>
    <n v="1"/>
    <n v="1"/>
    <n v="1"/>
    <x v="1"/>
    <n v="1"/>
    <n v="1"/>
    <n v="1"/>
  </r>
  <r>
    <s v="T4-L2-Z23-C8"/>
    <x v="1"/>
    <x v="3"/>
    <s v="Z23"/>
    <x v="3"/>
    <s v="C8"/>
    <n v="1"/>
    <n v="1"/>
    <n v="1"/>
    <x v="1"/>
    <n v="1"/>
    <n v="1"/>
    <n v="1"/>
  </r>
  <r>
    <s v="T4-L2-Z23-C9"/>
    <x v="1"/>
    <x v="3"/>
    <s v="Z23"/>
    <x v="3"/>
    <s v="C9"/>
    <n v="1"/>
    <n v="1"/>
    <n v="1"/>
    <x v="1"/>
    <n v="1"/>
    <n v="1"/>
    <n v="1"/>
  </r>
  <r>
    <s v="T4-L2-Z23-C10"/>
    <x v="1"/>
    <x v="3"/>
    <s v="Z23"/>
    <x v="3"/>
    <s v="C10"/>
    <n v="1"/>
    <n v="1"/>
    <n v="1"/>
    <x v="1"/>
    <n v="1"/>
    <n v="1"/>
    <n v="1"/>
  </r>
  <r>
    <s v="T4-L2-Z23-C11"/>
    <x v="1"/>
    <x v="3"/>
    <s v="Z23"/>
    <x v="3"/>
    <s v="C11"/>
    <n v="1"/>
    <n v="1"/>
    <n v="1"/>
    <x v="1"/>
    <n v="1"/>
    <n v="1"/>
    <n v="1"/>
  </r>
  <r>
    <s v="T4-L2-Z23-C12"/>
    <x v="1"/>
    <x v="3"/>
    <s v="Z23"/>
    <x v="3"/>
    <s v="C12"/>
    <n v="1"/>
    <n v="1"/>
    <n v="1"/>
    <x v="1"/>
    <n v="1"/>
    <n v="1"/>
    <n v="1"/>
  </r>
  <r>
    <s v="T4-L2-Z23-C13"/>
    <x v="1"/>
    <x v="3"/>
    <s v="Z23"/>
    <x v="3"/>
    <s v="C13"/>
    <n v="1"/>
    <n v="1"/>
    <n v="1"/>
    <x v="1"/>
    <n v="1"/>
    <n v="1"/>
    <n v="1"/>
  </r>
  <r>
    <s v="T4-L2-Z23-C14"/>
    <x v="1"/>
    <x v="3"/>
    <s v="Z23"/>
    <x v="3"/>
    <s v="C14"/>
    <n v="1"/>
    <n v="1"/>
    <n v="1"/>
    <x v="1"/>
    <n v="1"/>
    <n v="1"/>
    <n v="1"/>
  </r>
  <r>
    <s v="T4-L2-Z23-C15"/>
    <x v="1"/>
    <x v="3"/>
    <s v="Z23"/>
    <x v="3"/>
    <s v="C15"/>
    <n v="1"/>
    <n v="1"/>
    <n v="1"/>
    <x v="1"/>
    <n v="1"/>
    <n v="1"/>
    <n v="1"/>
  </r>
  <r>
    <s v="T4-L2-Z23-C16"/>
    <x v="1"/>
    <x v="3"/>
    <s v="Z23"/>
    <x v="3"/>
    <s v="C16"/>
    <n v="1"/>
    <n v="1"/>
    <n v="1"/>
    <x v="1"/>
    <n v="1"/>
    <n v="1"/>
    <n v="1"/>
  </r>
  <r>
    <s v="T4-L2-Z23-C17"/>
    <x v="1"/>
    <x v="3"/>
    <s v="Z23"/>
    <x v="3"/>
    <s v="C17"/>
    <n v="1"/>
    <n v="1"/>
    <n v="1"/>
    <x v="1"/>
    <n v="1"/>
    <n v="1"/>
    <n v="1"/>
  </r>
  <r>
    <s v="T4-L2-Z24-C1"/>
    <x v="1"/>
    <x v="3"/>
    <s v="Z24"/>
    <x v="3"/>
    <s v="C1"/>
    <n v="1"/>
    <n v="1"/>
    <n v="1"/>
    <x v="1"/>
    <n v="1"/>
    <n v="1"/>
    <n v="1"/>
  </r>
  <r>
    <s v="T4-L2-Z24-C2"/>
    <x v="1"/>
    <x v="3"/>
    <s v="Z24"/>
    <x v="3"/>
    <s v="C2"/>
    <n v="1"/>
    <n v="1"/>
    <n v="1"/>
    <x v="1"/>
    <n v="1"/>
    <n v="1"/>
    <n v="1"/>
  </r>
  <r>
    <s v="T4-L2-Z24-C3"/>
    <x v="1"/>
    <x v="3"/>
    <s v="Z24"/>
    <x v="3"/>
    <s v="C3"/>
    <n v="1"/>
    <n v="1"/>
    <n v="1"/>
    <x v="1"/>
    <n v="1"/>
    <n v="1"/>
    <n v="1"/>
  </r>
  <r>
    <s v="T4-L2-Z24-C4"/>
    <x v="1"/>
    <x v="3"/>
    <s v="Z24"/>
    <x v="3"/>
    <s v="C4"/>
    <n v="1"/>
    <n v="1"/>
    <n v="1"/>
    <x v="1"/>
    <n v="1"/>
    <n v="1"/>
    <n v="1"/>
  </r>
  <r>
    <s v="T4-L2-Z24-C5"/>
    <x v="1"/>
    <x v="3"/>
    <s v="Z24"/>
    <x v="3"/>
    <s v="C5"/>
    <n v="1"/>
    <n v="1"/>
    <n v="1"/>
    <x v="1"/>
    <n v="1"/>
    <n v="1"/>
    <n v="1"/>
  </r>
  <r>
    <s v="T4-L2-Z24-C6"/>
    <x v="1"/>
    <x v="3"/>
    <s v="Z24"/>
    <x v="3"/>
    <s v="C6"/>
    <n v="1"/>
    <n v="1"/>
    <n v="1"/>
    <x v="1"/>
    <n v="1"/>
    <n v="1"/>
    <n v="1"/>
  </r>
  <r>
    <s v="T4-L2-Z24-C7"/>
    <x v="1"/>
    <x v="3"/>
    <s v="Z24"/>
    <x v="3"/>
    <s v="C7"/>
    <n v="1"/>
    <n v="1"/>
    <n v="1"/>
    <x v="1"/>
    <n v="1"/>
    <n v="1"/>
    <n v="1"/>
  </r>
  <r>
    <s v="T4-L2-Z24-C8"/>
    <x v="1"/>
    <x v="3"/>
    <s v="Z24"/>
    <x v="3"/>
    <s v="C8"/>
    <m/>
    <m/>
    <m/>
    <x v="1"/>
    <n v="1"/>
    <n v="1"/>
    <m/>
  </r>
  <r>
    <s v="T4-L2-Z24-C9"/>
    <x v="1"/>
    <x v="3"/>
    <s v="Z24"/>
    <x v="3"/>
    <s v="C9"/>
    <m/>
    <m/>
    <m/>
    <x v="1"/>
    <n v="1"/>
    <n v="1"/>
    <m/>
  </r>
  <r>
    <s v="T4-L2-Z24-C10"/>
    <x v="1"/>
    <x v="3"/>
    <s v="Z24"/>
    <x v="3"/>
    <s v="C10"/>
    <m/>
    <m/>
    <m/>
    <x v="1"/>
    <n v="1"/>
    <n v="1"/>
    <m/>
  </r>
  <r>
    <s v="T4-L2-Z24-C11"/>
    <x v="1"/>
    <x v="3"/>
    <s v="Z24"/>
    <x v="3"/>
    <s v="C11"/>
    <m/>
    <m/>
    <m/>
    <x v="1"/>
    <n v="1"/>
    <n v="1"/>
    <m/>
  </r>
  <r>
    <s v="T4-L2-Z24-C12"/>
    <x v="1"/>
    <x v="3"/>
    <s v="Z24"/>
    <x v="3"/>
    <s v="C12"/>
    <n v="1"/>
    <n v="1"/>
    <n v="1"/>
    <x v="1"/>
    <n v="1"/>
    <n v="1"/>
    <n v="1"/>
  </r>
  <r>
    <s v="T4-L2-Z24-C13"/>
    <x v="1"/>
    <x v="3"/>
    <s v="Z24"/>
    <x v="3"/>
    <s v="C13"/>
    <n v="1"/>
    <n v="1"/>
    <n v="1"/>
    <x v="1"/>
    <n v="1"/>
    <n v="1"/>
    <n v="1"/>
  </r>
  <r>
    <s v="T4-L2-Z24-C14"/>
    <x v="1"/>
    <x v="3"/>
    <s v="Z24"/>
    <x v="3"/>
    <s v="C14"/>
    <n v="1"/>
    <n v="1"/>
    <n v="1"/>
    <x v="1"/>
    <n v="1"/>
    <n v="1"/>
    <n v="1"/>
  </r>
  <r>
    <s v="T4-L2-Z24-C15"/>
    <x v="1"/>
    <x v="3"/>
    <s v="Z24"/>
    <x v="3"/>
    <s v="C15"/>
    <n v="1"/>
    <n v="1"/>
    <n v="1"/>
    <x v="1"/>
    <n v="1"/>
    <n v="1"/>
    <n v="1"/>
  </r>
  <r>
    <s v="T4-L2-Z24-C16"/>
    <x v="1"/>
    <x v="3"/>
    <s v="Z24"/>
    <x v="3"/>
    <s v="C16"/>
    <n v="1"/>
    <n v="1"/>
    <n v="1"/>
    <x v="1"/>
    <n v="1"/>
    <n v="1"/>
    <n v="1"/>
  </r>
  <r>
    <s v="T4-L2-Z24-C17"/>
    <x v="1"/>
    <x v="3"/>
    <s v="Z24"/>
    <x v="3"/>
    <s v="C17"/>
    <n v="1"/>
    <n v="1"/>
    <n v="1"/>
    <x v="1"/>
    <n v="1"/>
    <n v="1"/>
    <n v="1"/>
  </r>
  <r>
    <s v="T4-L2-Z24-C18"/>
    <x v="1"/>
    <x v="3"/>
    <s v="Z24"/>
    <x v="3"/>
    <s v="C18"/>
    <n v="1"/>
    <n v="1"/>
    <n v="1"/>
    <x v="1"/>
    <n v="1"/>
    <n v="1"/>
    <n v="1"/>
  </r>
  <r>
    <s v="T4-L2-Z24-C19"/>
    <x v="1"/>
    <x v="3"/>
    <s v="Z24"/>
    <x v="3"/>
    <s v="C19"/>
    <n v="1"/>
    <n v="1"/>
    <n v="1"/>
    <x v="1"/>
    <n v="1"/>
    <n v="1"/>
    <n v="1"/>
  </r>
  <r>
    <s v="T4-L2-Z24-C20"/>
    <x v="1"/>
    <x v="3"/>
    <s v="Z24"/>
    <x v="3"/>
    <s v="C20"/>
    <n v="1"/>
    <n v="1"/>
    <n v="1"/>
    <x v="1"/>
    <n v="1"/>
    <n v="1"/>
    <n v="1"/>
  </r>
  <r>
    <s v="T4-L2-Z24-C21"/>
    <x v="1"/>
    <x v="3"/>
    <s v="Z24"/>
    <x v="3"/>
    <s v="C21"/>
    <n v="1"/>
    <n v="1"/>
    <n v="1"/>
    <x v="1"/>
    <n v="1"/>
    <n v="1"/>
    <n v="1"/>
  </r>
  <r>
    <s v="T4-L2-Z25-C1"/>
    <x v="1"/>
    <x v="3"/>
    <s v="Z25"/>
    <x v="3"/>
    <s v="C1"/>
    <m/>
    <m/>
    <m/>
    <x v="1"/>
    <m/>
    <m/>
    <m/>
  </r>
  <r>
    <s v="T4-L2-Z25-C2"/>
    <x v="1"/>
    <x v="3"/>
    <s v="Z25"/>
    <x v="3"/>
    <s v="C2"/>
    <m/>
    <m/>
    <m/>
    <x v="1"/>
    <m/>
    <m/>
    <m/>
  </r>
  <r>
    <s v="T4-L2-Z25-C3"/>
    <x v="1"/>
    <x v="3"/>
    <s v="Z25"/>
    <x v="3"/>
    <s v="C3"/>
    <m/>
    <m/>
    <m/>
    <x v="1"/>
    <m/>
    <m/>
    <m/>
  </r>
  <r>
    <s v="T4-L2-Z25-C4"/>
    <x v="1"/>
    <x v="3"/>
    <s v="Z25"/>
    <x v="3"/>
    <s v="C4"/>
    <m/>
    <m/>
    <m/>
    <x v="1"/>
    <m/>
    <m/>
    <m/>
  </r>
  <r>
    <s v="T4-L2-Z25-C5"/>
    <x v="1"/>
    <x v="3"/>
    <s v="Z25"/>
    <x v="3"/>
    <s v="C5"/>
    <m/>
    <m/>
    <m/>
    <x v="1"/>
    <m/>
    <m/>
    <m/>
  </r>
  <r>
    <s v="T4-L2-Z25-C6"/>
    <x v="1"/>
    <x v="3"/>
    <s v="Z25"/>
    <x v="3"/>
    <s v="C6"/>
    <m/>
    <m/>
    <m/>
    <x v="1"/>
    <m/>
    <m/>
    <m/>
  </r>
  <r>
    <s v="T4-L2-Z25-C7"/>
    <x v="1"/>
    <x v="3"/>
    <s v="Z25"/>
    <x v="3"/>
    <s v="C7"/>
    <m/>
    <m/>
    <m/>
    <x v="1"/>
    <m/>
    <m/>
    <m/>
  </r>
  <r>
    <s v="T4-L2-Z25-C8"/>
    <x v="1"/>
    <x v="3"/>
    <s v="Z25"/>
    <x v="3"/>
    <s v="C8"/>
    <m/>
    <m/>
    <m/>
    <x v="1"/>
    <m/>
    <m/>
    <m/>
  </r>
  <r>
    <s v="T4-L2-Z25-C9"/>
    <x v="1"/>
    <x v="3"/>
    <s v="Z25"/>
    <x v="3"/>
    <s v="C9"/>
    <m/>
    <m/>
    <m/>
    <x v="1"/>
    <m/>
    <m/>
    <m/>
  </r>
  <r>
    <s v="T4-L2-Z25-C10"/>
    <x v="1"/>
    <x v="3"/>
    <s v="Z25"/>
    <x v="3"/>
    <s v="C10"/>
    <m/>
    <m/>
    <m/>
    <x v="1"/>
    <m/>
    <m/>
    <m/>
  </r>
  <r>
    <s v="T4-L2-Z25-C11"/>
    <x v="1"/>
    <x v="3"/>
    <s v="Z25"/>
    <x v="3"/>
    <s v="C11"/>
    <m/>
    <m/>
    <m/>
    <x v="1"/>
    <m/>
    <m/>
    <m/>
  </r>
  <r>
    <s v="T4-L2-Z25-C12"/>
    <x v="1"/>
    <x v="3"/>
    <s v="Z25"/>
    <x v="3"/>
    <s v="C12"/>
    <m/>
    <m/>
    <m/>
    <x v="1"/>
    <m/>
    <m/>
    <m/>
  </r>
  <r>
    <s v="T4-L2-Z25-C13"/>
    <x v="1"/>
    <x v="3"/>
    <s v="Z25"/>
    <x v="3"/>
    <s v="C13"/>
    <m/>
    <m/>
    <m/>
    <x v="1"/>
    <m/>
    <m/>
    <m/>
  </r>
  <r>
    <s v="T4-L2-Z25-C14"/>
    <x v="1"/>
    <x v="3"/>
    <s v="Z25"/>
    <x v="3"/>
    <s v="C14"/>
    <m/>
    <m/>
    <m/>
    <x v="1"/>
    <m/>
    <m/>
    <m/>
  </r>
  <r>
    <s v="T4-L2-Z25-C15"/>
    <x v="1"/>
    <x v="3"/>
    <s v="Z25"/>
    <x v="3"/>
    <s v="C15"/>
    <m/>
    <m/>
    <m/>
    <x v="1"/>
    <m/>
    <m/>
    <m/>
  </r>
  <r>
    <s v="T4-L2-Z25-C16"/>
    <x v="1"/>
    <x v="3"/>
    <s v="Z25"/>
    <x v="3"/>
    <s v="C16"/>
    <m/>
    <m/>
    <m/>
    <x v="1"/>
    <m/>
    <m/>
    <m/>
  </r>
  <r>
    <s v="T4-L2-Z25-C17"/>
    <x v="1"/>
    <x v="3"/>
    <s v="Z25"/>
    <x v="3"/>
    <s v="C17"/>
    <m/>
    <m/>
    <m/>
    <x v="1"/>
    <m/>
    <m/>
    <m/>
  </r>
  <r>
    <s v="T4-L2-Z25-C18"/>
    <x v="1"/>
    <x v="3"/>
    <s v="Z25"/>
    <x v="3"/>
    <s v="C18"/>
    <m/>
    <m/>
    <m/>
    <x v="1"/>
    <m/>
    <m/>
    <m/>
  </r>
  <r>
    <s v="T4-L2-Z25-C19"/>
    <x v="1"/>
    <x v="3"/>
    <s v="Z25"/>
    <x v="3"/>
    <s v="C19"/>
    <m/>
    <m/>
    <m/>
    <x v="1"/>
    <m/>
    <m/>
    <m/>
  </r>
  <r>
    <s v="T4-L2-Z26-C1"/>
    <x v="1"/>
    <x v="3"/>
    <s v="Z26"/>
    <x v="3"/>
    <s v="C1"/>
    <m/>
    <m/>
    <m/>
    <x v="1"/>
    <m/>
    <m/>
    <m/>
  </r>
  <r>
    <s v="T4-L2-Z26-C2"/>
    <x v="1"/>
    <x v="3"/>
    <s v="Z26"/>
    <x v="3"/>
    <s v="C2"/>
    <m/>
    <m/>
    <m/>
    <x v="1"/>
    <m/>
    <m/>
    <m/>
  </r>
  <r>
    <s v="T4-L2-Z26-C3"/>
    <x v="1"/>
    <x v="3"/>
    <s v="Z26"/>
    <x v="3"/>
    <s v="C3"/>
    <m/>
    <m/>
    <m/>
    <x v="1"/>
    <m/>
    <m/>
    <m/>
  </r>
  <r>
    <s v="T4-L2-Z26-C4"/>
    <x v="1"/>
    <x v="3"/>
    <s v="Z26"/>
    <x v="3"/>
    <s v="C4"/>
    <m/>
    <m/>
    <m/>
    <x v="1"/>
    <m/>
    <m/>
    <m/>
  </r>
  <r>
    <s v="T4-L2-Z26-C5"/>
    <x v="1"/>
    <x v="3"/>
    <s v="Z26"/>
    <x v="3"/>
    <s v="C5"/>
    <m/>
    <m/>
    <m/>
    <x v="1"/>
    <m/>
    <m/>
    <m/>
  </r>
  <r>
    <s v="T4-L2-Z26-C6"/>
    <x v="1"/>
    <x v="3"/>
    <s v="Z26"/>
    <x v="3"/>
    <s v="C6"/>
    <m/>
    <m/>
    <m/>
    <x v="1"/>
    <m/>
    <m/>
    <m/>
  </r>
  <r>
    <s v="T4-L2-Z26-C7"/>
    <x v="1"/>
    <x v="3"/>
    <s v="Z26"/>
    <x v="3"/>
    <s v="C7"/>
    <m/>
    <m/>
    <m/>
    <x v="1"/>
    <m/>
    <m/>
    <m/>
  </r>
  <r>
    <s v="T4-L2-Z26-C8"/>
    <x v="1"/>
    <x v="3"/>
    <s v="Z26"/>
    <x v="3"/>
    <s v="C8"/>
    <m/>
    <m/>
    <m/>
    <x v="1"/>
    <m/>
    <m/>
    <m/>
  </r>
  <r>
    <s v="T4-L2-Z26-C9"/>
    <x v="1"/>
    <x v="3"/>
    <s v="Z26"/>
    <x v="3"/>
    <s v="C9"/>
    <m/>
    <m/>
    <m/>
    <x v="1"/>
    <m/>
    <m/>
    <m/>
  </r>
  <r>
    <s v="T4-L2-Z26-C10"/>
    <x v="1"/>
    <x v="3"/>
    <s v="Z26"/>
    <x v="3"/>
    <s v="C10"/>
    <m/>
    <m/>
    <m/>
    <x v="1"/>
    <m/>
    <m/>
    <m/>
  </r>
  <r>
    <s v="T4-L2-Z26-C11"/>
    <x v="1"/>
    <x v="3"/>
    <s v="Z26"/>
    <x v="3"/>
    <s v="C11"/>
    <m/>
    <m/>
    <m/>
    <x v="1"/>
    <m/>
    <m/>
    <m/>
  </r>
  <r>
    <s v="T4-L2-Z26-C12"/>
    <x v="1"/>
    <x v="3"/>
    <s v="Z26"/>
    <x v="3"/>
    <s v="C12"/>
    <m/>
    <m/>
    <m/>
    <x v="1"/>
    <m/>
    <m/>
    <m/>
  </r>
  <r>
    <s v="T4-L2-Z26-C13"/>
    <x v="1"/>
    <x v="3"/>
    <s v="Z26"/>
    <x v="3"/>
    <s v="C13"/>
    <m/>
    <m/>
    <m/>
    <x v="1"/>
    <m/>
    <m/>
    <m/>
  </r>
  <r>
    <s v="T4-L2-Z26-C14"/>
    <x v="1"/>
    <x v="3"/>
    <s v="Z26"/>
    <x v="3"/>
    <s v="C14"/>
    <m/>
    <m/>
    <m/>
    <x v="1"/>
    <m/>
    <m/>
    <m/>
  </r>
  <r>
    <s v="T4-L2-Z26-C15"/>
    <x v="1"/>
    <x v="3"/>
    <s v="Z26"/>
    <x v="3"/>
    <s v="C15"/>
    <m/>
    <m/>
    <m/>
    <x v="1"/>
    <m/>
    <m/>
    <m/>
  </r>
  <r>
    <s v="T4-L2-Z26-C16"/>
    <x v="1"/>
    <x v="3"/>
    <s v="Z26"/>
    <x v="3"/>
    <s v="C16"/>
    <m/>
    <m/>
    <m/>
    <x v="1"/>
    <m/>
    <m/>
    <m/>
  </r>
  <r>
    <s v="T4-L2-Z26-C17"/>
    <x v="1"/>
    <x v="3"/>
    <s v="Z26"/>
    <x v="3"/>
    <s v="C17"/>
    <m/>
    <m/>
    <m/>
    <x v="1"/>
    <m/>
    <m/>
    <m/>
  </r>
  <r>
    <s v="T4-L2-Z26-C18"/>
    <x v="1"/>
    <x v="3"/>
    <s v="Z26"/>
    <x v="3"/>
    <s v="C18"/>
    <m/>
    <m/>
    <m/>
    <x v="1"/>
    <m/>
    <m/>
    <m/>
  </r>
  <r>
    <s v="T4-L2-Z26-C19"/>
    <x v="1"/>
    <x v="3"/>
    <s v="Z26"/>
    <x v="3"/>
    <s v="C19"/>
    <m/>
    <m/>
    <m/>
    <x v="1"/>
    <m/>
    <m/>
    <m/>
  </r>
  <r>
    <s v="T4-L2-Z26-C20"/>
    <x v="1"/>
    <x v="3"/>
    <s v="Z26"/>
    <x v="3"/>
    <s v="C20"/>
    <m/>
    <m/>
    <m/>
    <x v="1"/>
    <m/>
    <m/>
    <m/>
  </r>
  <r>
    <s v="T4-L2-Z26-C21"/>
    <x v="1"/>
    <x v="3"/>
    <s v="Z26"/>
    <x v="3"/>
    <s v="C21"/>
    <m/>
    <m/>
    <m/>
    <x v="1"/>
    <m/>
    <m/>
    <m/>
  </r>
  <r>
    <s v="T4-L2-Z26-C22"/>
    <x v="1"/>
    <x v="3"/>
    <s v="Z26"/>
    <x v="3"/>
    <s v="C22"/>
    <m/>
    <m/>
    <m/>
    <x v="1"/>
    <m/>
    <m/>
    <m/>
  </r>
  <r>
    <s v="T4-L2-Z26-C23"/>
    <x v="1"/>
    <x v="3"/>
    <s v="Z26"/>
    <x v="3"/>
    <s v="C23"/>
    <m/>
    <m/>
    <m/>
    <x v="1"/>
    <m/>
    <m/>
    <m/>
  </r>
  <r>
    <s v="T4-L2-Z26-C24"/>
    <x v="1"/>
    <x v="3"/>
    <s v="Z26"/>
    <x v="3"/>
    <s v="C24"/>
    <m/>
    <m/>
    <m/>
    <x v="1"/>
    <m/>
    <m/>
    <m/>
  </r>
  <r>
    <s v="T4-L2-Z26-C25"/>
    <x v="1"/>
    <x v="3"/>
    <s v="Z26"/>
    <x v="3"/>
    <s v="C25"/>
    <m/>
    <m/>
    <m/>
    <x v="1"/>
    <m/>
    <m/>
    <m/>
  </r>
  <r>
    <s v="T4-L2-Z27-C1"/>
    <x v="1"/>
    <x v="3"/>
    <s v="Z27"/>
    <x v="3"/>
    <s v="C1"/>
    <n v="1"/>
    <n v="1"/>
    <n v="1"/>
    <x v="1"/>
    <n v="1"/>
    <n v="1"/>
    <n v="1"/>
  </r>
  <r>
    <s v="T4-L2-Z27-C2"/>
    <x v="1"/>
    <x v="3"/>
    <s v="Z27"/>
    <x v="3"/>
    <s v="C2"/>
    <n v="1"/>
    <n v="1"/>
    <n v="1"/>
    <x v="1"/>
    <n v="1"/>
    <n v="1"/>
    <n v="1"/>
  </r>
  <r>
    <s v="T4-L2-Z27-C3"/>
    <x v="1"/>
    <x v="3"/>
    <s v="Z27"/>
    <x v="3"/>
    <s v="C3"/>
    <n v="1"/>
    <n v="1"/>
    <n v="1"/>
    <x v="1"/>
    <n v="1"/>
    <n v="1"/>
    <n v="1"/>
  </r>
  <r>
    <s v="T4-L2-Z27-C4"/>
    <x v="1"/>
    <x v="3"/>
    <s v="Z27"/>
    <x v="3"/>
    <s v="C4"/>
    <m/>
    <m/>
    <m/>
    <x v="1"/>
    <m/>
    <m/>
    <m/>
  </r>
  <r>
    <s v="T4-L2-Z27-C5"/>
    <x v="1"/>
    <x v="3"/>
    <s v="Z27"/>
    <x v="3"/>
    <s v="C5"/>
    <m/>
    <m/>
    <m/>
    <x v="1"/>
    <m/>
    <m/>
    <m/>
  </r>
  <r>
    <s v="T4-L3-Z29_MC-C1"/>
    <x v="1"/>
    <x v="1"/>
    <s v="Z29_MC"/>
    <x v="3"/>
    <s v="C1"/>
    <n v="1"/>
    <n v="1"/>
    <n v="1"/>
    <x v="0"/>
    <n v="1"/>
    <n v="1"/>
    <n v="1"/>
  </r>
  <r>
    <s v="T4-L3-Z29_MC-C2"/>
    <x v="1"/>
    <x v="1"/>
    <s v="Z29_MC"/>
    <x v="3"/>
    <s v="C2"/>
    <n v="1"/>
    <n v="1"/>
    <n v="1"/>
    <x v="0"/>
    <n v="1"/>
    <n v="1"/>
    <n v="1"/>
  </r>
  <r>
    <s v="T4-L3-Z29_MC-C3"/>
    <x v="1"/>
    <x v="1"/>
    <s v="Z29_MC"/>
    <x v="3"/>
    <s v="C3"/>
    <n v="1"/>
    <n v="1"/>
    <n v="1"/>
    <x v="0"/>
    <n v="1"/>
    <n v="1"/>
    <n v="1"/>
  </r>
  <r>
    <s v="T4-L3-Z29_MC-C4"/>
    <x v="1"/>
    <x v="1"/>
    <s v="Z29_MC"/>
    <x v="3"/>
    <s v="C4"/>
    <n v="1"/>
    <n v="1"/>
    <n v="1"/>
    <x v="0"/>
    <n v="1"/>
    <n v="1"/>
    <n v="1"/>
  </r>
  <r>
    <s v="T4-L3-Z29_MC-C5"/>
    <x v="1"/>
    <x v="1"/>
    <s v="Z29_MC"/>
    <x v="3"/>
    <s v="C5"/>
    <n v="1"/>
    <n v="1"/>
    <n v="1"/>
    <x v="0"/>
    <n v="1"/>
    <n v="1"/>
    <n v="1"/>
  </r>
  <r>
    <s v="T4-L3-Z29_MC-C6"/>
    <x v="1"/>
    <x v="1"/>
    <s v="Z29_MC"/>
    <x v="3"/>
    <s v="C6"/>
    <n v="1"/>
    <n v="1"/>
    <n v="1"/>
    <x v="0"/>
    <n v="1"/>
    <n v="1"/>
    <n v="1"/>
  </r>
  <r>
    <s v="T4-L3-Z29_MC-C7"/>
    <x v="1"/>
    <x v="1"/>
    <s v="Z29_MC"/>
    <x v="3"/>
    <s v="C7"/>
    <n v="1"/>
    <n v="1"/>
    <n v="1"/>
    <x v="0"/>
    <n v="1"/>
    <n v="1"/>
    <n v="1"/>
  </r>
  <r>
    <s v="T4-L3-Z29_MC-C8"/>
    <x v="1"/>
    <x v="1"/>
    <s v="Z29_MC"/>
    <x v="3"/>
    <s v="C8"/>
    <n v="1"/>
    <n v="1"/>
    <n v="1"/>
    <x v="0"/>
    <n v="1"/>
    <n v="1"/>
    <n v="1"/>
  </r>
  <r>
    <s v="T4-L3-Z30_MC-C1"/>
    <x v="1"/>
    <x v="1"/>
    <s v="Z30_MC"/>
    <x v="3"/>
    <s v="C1"/>
    <n v="1"/>
    <n v="1"/>
    <n v="1"/>
    <x v="0"/>
    <n v="1"/>
    <n v="1"/>
    <n v="1"/>
  </r>
  <r>
    <s v="T4-L3-Z30_MC-C2"/>
    <x v="1"/>
    <x v="1"/>
    <s v="Z30_MC"/>
    <x v="3"/>
    <s v="C2"/>
    <n v="1"/>
    <n v="1"/>
    <n v="1"/>
    <x v="0"/>
    <n v="1"/>
    <n v="1"/>
    <n v="1"/>
  </r>
  <r>
    <s v="T4-L3-Z30_MC-C3"/>
    <x v="1"/>
    <x v="1"/>
    <s v="Z30_MC"/>
    <x v="3"/>
    <s v="C3"/>
    <n v="1"/>
    <n v="1"/>
    <n v="1"/>
    <x v="0"/>
    <n v="1"/>
    <n v="1"/>
    <n v="1"/>
  </r>
  <r>
    <s v="T4-L3-Z30_MC-C4"/>
    <x v="1"/>
    <x v="1"/>
    <s v="Z30_MC"/>
    <x v="3"/>
    <s v="C4"/>
    <n v="1"/>
    <n v="1"/>
    <n v="1"/>
    <x v="0"/>
    <n v="1"/>
    <n v="1"/>
    <n v="1"/>
  </r>
  <r>
    <s v="T4-L3-Z30_MC-C5"/>
    <x v="1"/>
    <x v="1"/>
    <s v="Z30_MC"/>
    <x v="3"/>
    <s v="C5"/>
    <n v="1"/>
    <n v="1"/>
    <n v="1"/>
    <x v="0"/>
    <n v="1"/>
    <n v="1"/>
    <n v="1"/>
  </r>
  <r>
    <s v="T4-L3-Z30_MC-C6"/>
    <x v="1"/>
    <x v="1"/>
    <s v="Z30_MC"/>
    <x v="3"/>
    <s v="C6"/>
    <n v="1"/>
    <n v="1"/>
    <n v="1"/>
    <x v="0"/>
    <n v="1"/>
    <n v="1"/>
    <n v="1"/>
  </r>
  <r>
    <s v="T4-L3-Z30_MC-C7"/>
    <x v="1"/>
    <x v="1"/>
    <s v="Z30_MC"/>
    <x v="3"/>
    <s v="C7"/>
    <n v="1"/>
    <n v="1"/>
    <n v="1"/>
    <x v="0"/>
    <n v="1"/>
    <n v="1"/>
    <n v="1"/>
  </r>
  <r>
    <s v="T4-L3-Z30_MC-C8"/>
    <x v="1"/>
    <x v="1"/>
    <s v="Z30_MC"/>
    <x v="3"/>
    <s v="C8"/>
    <n v="1"/>
    <n v="1"/>
    <n v="1"/>
    <x v="0"/>
    <n v="1"/>
    <n v="1"/>
    <n v="1"/>
  </r>
  <r>
    <s v="T4-L3-Z30_MC-C9"/>
    <x v="1"/>
    <x v="1"/>
    <s v="Z30_MC"/>
    <x v="3"/>
    <s v="C9"/>
    <n v="1"/>
    <n v="1"/>
    <n v="1"/>
    <x v="0"/>
    <n v="1"/>
    <n v="1"/>
    <n v="1"/>
  </r>
  <r>
    <s v="T4-L3-Z30_MC-C10"/>
    <x v="1"/>
    <x v="1"/>
    <s v="Z30_MC"/>
    <x v="3"/>
    <s v="C10"/>
    <n v="1"/>
    <n v="1"/>
    <n v="1"/>
    <x v="0"/>
    <n v="1"/>
    <n v="1"/>
    <n v="1"/>
  </r>
  <r>
    <s v="T4-L3-Z30_MC-C11"/>
    <x v="1"/>
    <x v="1"/>
    <s v="Z30_MC"/>
    <x v="3"/>
    <s v="C11"/>
    <n v="1"/>
    <n v="1"/>
    <n v="1"/>
    <x v="0"/>
    <n v="1"/>
    <n v="1"/>
    <n v="1"/>
  </r>
  <r>
    <s v="T4-L3-Z30_MC-C12"/>
    <x v="1"/>
    <x v="1"/>
    <s v="Z30_MC"/>
    <x v="3"/>
    <s v="C12"/>
    <n v="1"/>
    <n v="1"/>
    <n v="1"/>
    <x v="0"/>
    <n v="1"/>
    <n v="1"/>
    <n v="1"/>
  </r>
  <r>
    <s v="T4-L3-Z30_MC-C13"/>
    <x v="1"/>
    <x v="1"/>
    <s v="Z30_MC"/>
    <x v="3"/>
    <s v="C13"/>
    <n v="1"/>
    <n v="1"/>
    <n v="1"/>
    <x v="0"/>
    <n v="1"/>
    <n v="1"/>
    <n v="1"/>
  </r>
  <r>
    <s v="T4-L3-Z30_MC-C14"/>
    <x v="1"/>
    <x v="1"/>
    <s v="Z30_MC"/>
    <x v="3"/>
    <s v="C14"/>
    <n v="1"/>
    <n v="1"/>
    <n v="1"/>
    <x v="0"/>
    <n v="1"/>
    <n v="1"/>
    <n v="1"/>
  </r>
  <r>
    <s v="T4-L3-Z30_MC-C15"/>
    <x v="1"/>
    <x v="1"/>
    <s v="Z30_MC"/>
    <x v="3"/>
    <s v="C15"/>
    <n v="1"/>
    <n v="1"/>
    <n v="1"/>
    <x v="0"/>
    <n v="1"/>
    <n v="1"/>
    <n v="1"/>
  </r>
  <r>
    <s v="T4-L3-Z30_MC-C16"/>
    <x v="1"/>
    <x v="1"/>
    <s v="Z30_MC"/>
    <x v="3"/>
    <s v="C16"/>
    <n v="1"/>
    <n v="1"/>
    <n v="1"/>
    <x v="0"/>
    <n v="1"/>
    <n v="1"/>
    <n v="1"/>
  </r>
  <r>
    <s v="T4-L3-Z30_MC-C17"/>
    <x v="1"/>
    <x v="1"/>
    <s v="Z30_MC"/>
    <x v="3"/>
    <s v="C17"/>
    <n v="1"/>
    <n v="1"/>
    <n v="1"/>
    <x v="0"/>
    <n v="1"/>
    <n v="1"/>
    <n v="1"/>
  </r>
  <r>
    <s v="T4-L3-Z30_MC-C18"/>
    <x v="1"/>
    <x v="1"/>
    <s v="Z30_MC"/>
    <x v="3"/>
    <s v="C18"/>
    <n v="1"/>
    <n v="1"/>
    <n v="1"/>
    <x v="0"/>
    <n v="1"/>
    <n v="1"/>
    <n v="1"/>
  </r>
  <r>
    <s v="T4-L3-Z30_MC-C19"/>
    <x v="1"/>
    <x v="1"/>
    <s v="Z30_MC"/>
    <x v="3"/>
    <s v="C19"/>
    <n v="1"/>
    <n v="1"/>
    <n v="1"/>
    <x v="0"/>
    <n v="1"/>
    <n v="1"/>
    <n v="1"/>
  </r>
  <r>
    <s v="T4-L3-Z30_MC-C20"/>
    <x v="1"/>
    <x v="1"/>
    <s v="Z30_MC"/>
    <x v="3"/>
    <s v="C20"/>
    <n v="1"/>
    <n v="1"/>
    <n v="1"/>
    <x v="0"/>
    <n v="1"/>
    <n v="1"/>
    <n v="1"/>
  </r>
  <r>
    <s v="T4-L3-Z31_MC-C1"/>
    <x v="1"/>
    <x v="1"/>
    <s v="Z31_MC"/>
    <x v="3"/>
    <s v="C1"/>
    <n v="1"/>
    <n v="1"/>
    <n v="1"/>
    <x v="0"/>
    <n v="1"/>
    <n v="1"/>
    <n v="1"/>
  </r>
  <r>
    <s v="T4-L3-Z31_MC-C2"/>
    <x v="1"/>
    <x v="1"/>
    <s v="Z31_MC"/>
    <x v="3"/>
    <s v="C2"/>
    <n v="1"/>
    <n v="1"/>
    <n v="1"/>
    <x v="0"/>
    <n v="1"/>
    <n v="1"/>
    <n v="1"/>
  </r>
  <r>
    <s v="T4-L3-Z31_MC-C3"/>
    <x v="1"/>
    <x v="1"/>
    <s v="Z31_MC"/>
    <x v="3"/>
    <s v="C3"/>
    <n v="1"/>
    <n v="1"/>
    <n v="1"/>
    <x v="0"/>
    <n v="1"/>
    <n v="1"/>
    <n v="1"/>
  </r>
  <r>
    <s v="T4-L3-Z31_MC-C4"/>
    <x v="1"/>
    <x v="1"/>
    <s v="Z31_MC"/>
    <x v="3"/>
    <s v="C4"/>
    <n v="1"/>
    <n v="1"/>
    <n v="1"/>
    <x v="0"/>
    <n v="1"/>
    <n v="1"/>
    <n v="1"/>
  </r>
  <r>
    <s v="T4-L3-Z31_MC-C5"/>
    <x v="1"/>
    <x v="1"/>
    <s v="Z31_MC"/>
    <x v="3"/>
    <s v="C5"/>
    <n v="1"/>
    <n v="1"/>
    <n v="1"/>
    <x v="0"/>
    <n v="1"/>
    <n v="1"/>
    <n v="1"/>
  </r>
  <r>
    <s v="T4-L3-Z31_MC-C6"/>
    <x v="1"/>
    <x v="1"/>
    <s v="Z31_MC"/>
    <x v="3"/>
    <s v="C6"/>
    <n v="1"/>
    <n v="1"/>
    <n v="1"/>
    <x v="0"/>
    <n v="1"/>
    <n v="1"/>
    <n v="1"/>
  </r>
  <r>
    <s v="T4-L3-Z31_MC-C7"/>
    <x v="1"/>
    <x v="1"/>
    <s v="Z31_MC"/>
    <x v="3"/>
    <s v="C7"/>
    <n v="1"/>
    <n v="1"/>
    <n v="1"/>
    <x v="0"/>
    <n v="1"/>
    <n v="1"/>
    <n v="1"/>
  </r>
  <r>
    <s v="T4-L3-Z31_MC-C8"/>
    <x v="1"/>
    <x v="1"/>
    <s v="Z31_MC"/>
    <x v="3"/>
    <s v="C8"/>
    <n v="1"/>
    <n v="1"/>
    <n v="1"/>
    <x v="0"/>
    <n v="1"/>
    <n v="1"/>
    <n v="1"/>
  </r>
  <r>
    <s v="T4-L3-Z31_MC-C9"/>
    <x v="1"/>
    <x v="1"/>
    <s v="Z31_MC"/>
    <x v="3"/>
    <s v="C9"/>
    <n v="1"/>
    <n v="1"/>
    <n v="1"/>
    <x v="0"/>
    <n v="1"/>
    <n v="1"/>
    <n v="1"/>
  </r>
  <r>
    <s v="T4-L3-Z31_MC-C10"/>
    <x v="1"/>
    <x v="1"/>
    <s v="Z31_MC"/>
    <x v="3"/>
    <s v="C10"/>
    <n v="1"/>
    <n v="1"/>
    <n v="1"/>
    <x v="0"/>
    <n v="1"/>
    <n v="1"/>
    <n v="1"/>
  </r>
  <r>
    <s v="T4-L3-Z31_MC-C11"/>
    <x v="1"/>
    <x v="1"/>
    <s v="Z31_MC"/>
    <x v="3"/>
    <s v="C11"/>
    <n v="1"/>
    <n v="1"/>
    <n v="1"/>
    <x v="0"/>
    <n v="1"/>
    <n v="1"/>
    <n v="1"/>
  </r>
  <r>
    <s v="T4-L3-Z31_MC-C12"/>
    <x v="1"/>
    <x v="1"/>
    <s v="Z31_MC"/>
    <x v="3"/>
    <s v="C12"/>
    <n v="1"/>
    <n v="1"/>
    <n v="1"/>
    <x v="0"/>
    <n v="1"/>
    <n v="1"/>
    <n v="1"/>
  </r>
  <r>
    <s v="T4-L3-Z31_MC-C13"/>
    <x v="1"/>
    <x v="1"/>
    <s v="Z31_MC"/>
    <x v="3"/>
    <s v="C13"/>
    <n v="1"/>
    <n v="1"/>
    <n v="1"/>
    <x v="0"/>
    <n v="1"/>
    <n v="1"/>
    <n v="1"/>
  </r>
  <r>
    <s v="T4-L3-Z31_MC-C14"/>
    <x v="1"/>
    <x v="1"/>
    <s v="Z31_MC"/>
    <x v="3"/>
    <s v="C14"/>
    <n v="1"/>
    <n v="1"/>
    <n v="1"/>
    <x v="0"/>
    <n v="1"/>
    <n v="1"/>
    <n v="1"/>
  </r>
  <r>
    <s v="T4-L3-Z31_MC-C15"/>
    <x v="1"/>
    <x v="1"/>
    <s v="Z31_MC"/>
    <x v="3"/>
    <s v="C15"/>
    <n v="1"/>
    <n v="1"/>
    <n v="1"/>
    <x v="0"/>
    <n v="1"/>
    <n v="1"/>
    <n v="1"/>
  </r>
  <r>
    <s v="T4-L3-Z31_MC-C16"/>
    <x v="1"/>
    <x v="1"/>
    <s v="Z31_MC"/>
    <x v="3"/>
    <s v="C16"/>
    <n v="1"/>
    <n v="1"/>
    <n v="1"/>
    <x v="0"/>
    <n v="1"/>
    <n v="1"/>
    <n v="1"/>
  </r>
  <r>
    <s v="T4-L3-Z31_MC-C17"/>
    <x v="1"/>
    <x v="1"/>
    <s v="Z31_MC"/>
    <x v="3"/>
    <s v="C17"/>
    <n v="1"/>
    <n v="1"/>
    <n v="1"/>
    <x v="0"/>
    <n v="1"/>
    <n v="1"/>
    <n v="1"/>
  </r>
  <r>
    <s v="T4-L3-Z32_MC-C1"/>
    <x v="1"/>
    <x v="1"/>
    <s v="Z32_MC"/>
    <x v="3"/>
    <s v="C1"/>
    <n v="1"/>
    <n v="1"/>
    <n v="1"/>
    <x v="0"/>
    <n v="1"/>
    <n v="1"/>
    <n v="1"/>
  </r>
  <r>
    <s v="T4-L3-Z32_MC-C2"/>
    <x v="1"/>
    <x v="1"/>
    <s v="Z32_MC"/>
    <x v="3"/>
    <s v="C2"/>
    <n v="1"/>
    <n v="1"/>
    <n v="1"/>
    <x v="0"/>
    <n v="1"/>
    <n v="1"/>
    <n v="1"/>
  </r>
  <r>
    <s v="T4-L3-Z32_MC-C3"/>
    <x v="1"/>
    <x v="1"/>
    <s v="Z32_MC"/>
    <x v="3"/>
    <s v="C3"/>
    <n v="1"/>
    <n v="1"/>
    <n v="1"/>
    <x v="0"/>
    <n v="1"/>
    <n v="1"/>
    <n v="1"/>
  </r>
  <r>
    <s v="T4-L3-Z32_MC-C4"/>
    <x v="1"/>
    <x v="1"/>
    <s v="Z32_MC"/>
    <x v="3"/>
    <s v="C4"/>
    <n v="1"/>
    <n v="1"/>
    <n v="1"/>
    <x v="0"/>
    <n v="1"/>
    <n v="1"/>
    <n v="1"/>
  </r>
  <r>
    <s v="T4-L3-Z32_MC-C5"/>
    <x v="1"/>
    <x v="1"/>
    <s v="Z32_MC"/>
    <x v="3"/>
    <s v="C5"/>
    <n v="1"/>
    <n v="1"/>
    <n v="1"/>
    <x v="0"/>
    <n v="1"/>
    <n v="1"/>
    <n v="1"/>
  </r>
  <r>
    <s v="T4-L3-Z32_MC-C6"/>
    <x v="1"/>
    <x v="1"/>
    <s v="Z32_MC"/>
    <x v="3"/>
    <s v="C6"/>
    <n v="1"/>
    <n v="1"/>
    <n v="1"/>
    <x v="0"/>
    <n v="1"/>
    <n v="1"/>
    <n v="1"/>
  </r>
  <r>
    <s v="T4-L3-Z32_MC-C7"/>
    <x v="1"/>
    <x v="1"/>
    <s v="Z32_MC"/>
    <x v="3"/>
    <s v="C7"/>
    <n v="1"/>
    <n v="1"/>
    <n v="1"/>
    <x v="0"/>
    <n v="1"/>
    <n v="1"/>
    <n v="1"/>
  </r>
  <r>
    <s v="T4-L3-Z32_MC-C8"/>
    <x v="1"/>
    <x v="1"/>
    <s v="Z32_MC"/>
    <x v="3"/>
    <s v="C8"/>
    <n v="1"/>
    <n v="1"/>
    <n v="1"/>
    <x v="0"/>
    <n v="1"/>
    <n v="1"/>
    <n v="1"/>
  </r>
  <r>
    <s v="T4-L3-Z32_MC-C9"/>
    <x v="1"/>
    <x v="1"/>
    <s v="Z32_MC"/>
    <x v="3"/>
    <s v="C9"/>
    <n v="1"/>
    <n v="1"/>
    <n v="1"/>
    <x v="0"/>
    <n v="1"/>
    <n v="1"/>
    <n v="1"/>
  </r>
  <r>
    <s v="T4-L3-Z32_MC-C10"/>
    <x v="1"/>
    <x v="1"/>
    <s v="Z32_MC"/>
    <x v="3"/>
    <s v="C10"/>
    <n v="1"/>
    <n v="1"/>
    <n v="1"/>
    <x v="0"/>
    <n v="1"/>
    <n v="1"/>
    <n v="1"/>
  </r>
  <r>
    <s v="T4-L3-Z32_MC-C11"/>
    <x v="1"/>
    <x v="1"/>
    <s v="Z32_MC"/>
    <x v="3"/>
    <s v="C11"/>
    <n v="1"/>
    <n v="1"/>
    <n v="1"/>
    <x v="0"/>
    <n v="1"/>
    <n v="1"/>
    <n v="1"/>
  </r>
  <r>
    <s v="T4-L3-Z32_MC-C12"/>
    <x v="1"/>
    <x v="1"/>
    <s v="Z32_MC"/>
    <x v="3"/>
    <s v="C12"/>
    <n v="1"/>
    <n v="1"/>
    <n v="1"/>
    <x v="0"/>
    <n v="1"/>
    <n v="1"/>
    <n v="1"/>
  </r>
  <r>
    <s v="T4-L3-Z32_MC-C13"/>
    <x v="1"/>
    <x v="1"/>
    <s v="Z32_MC"/>
    <x v="3"/>
    <s v="C13"/>
    <n v="1"/>
    <n v="1"/>
    <n v="1"/>
    <x v="0"/>
    <n v="1"/>
    <n v="1"/>
    <n v="1"/>
  </r>
  <r>
    <s v="T4-L3-Z32_MC-C14"/>
    <x v="1"/>
    <x v="1"/>
    <s v="Z32_MC"/>
    <x v="3"/>
    <s v="C14"/>
    <n v="1"/>
    <n v="1"/>
    <n v="1"/>
    <x v="0"/>
    <n v="1"/>
    <n v="1"/>
    <n v="1"/>
  </r>
  <r>
    <s v="T4-L3-Z32_MC-C15"/>
    <x v="1"/>
    <x v="1"/>
    <s v="Z32_MC"/>
    <x v="3"/>
    <s v="C15"/>
    <n v="1"/>
    <n v="1"/>
    <n v="1"/>
    <x v="0"/>
    <n v="1"/>
    <n v="1"/>
    <n v="1"/>
  </r>
  <r>
    <s v="T4-L3-Z32_MC-C16"/>
    <x v="1"/>
    <x v="1"/>
    <s v="Z32_MC"/>
    <x v="3"/>
    <s v="C16"/>
    <n v="1"/>
    <n v="1"/>
    <n v="1"/>
    <x v="0"/>
    <n v="1"/>
    <n v="1"/>
    <n v="1"/>
  </r>
  <r>
    <s v="T4-L3-Z32_MC-C17"/>
    <x v="1"/>
    <x v="1"/>
    <s v="Z32_MC"/>
    <x v="3"/>
    <s v="C17"/>
    <n v="1"/>
    <n v="1"/>
    <n v="1"/>
    <x v="0"/>
    <n v="1"/>
    <n v="1"/>
    <n v="1"/>
  </r>
  <r>
    <s v="T4-L3-Z32_MC-C18"/>
    <x v="1"/>
    <x v="1"/>
    <s v="Z32_MC"/>
    <x v="3"/>
    <s v="C18"/>
    <n v="1"/>
    <n v="1"/>
    <n v="1"/>
    <x v="0"/>
    <n v="1"/>
    <n v="1"/>
    <n v="1"/>
  </r>
  <r>
    <s v="T4-L3-Z32_MC-C19"/>
    <x v="1"/>
    <x v="1"/>
    <s v="Z32_MC"/>
    <x v="3"/>
    <s v="C19"/>
    <n v="1"/>
    <n v="1"/>
    <n v="1"/>
    <x v="0"/>
    <n v="1"/>
    <n v="1"/>
    <n v="1"/>
  </r>
  <r>
    <s v="T4-L3-Z32_MC-C20"/>
    <x v="1"/>
    <x v="1"/>
    <s v="Z32_MC"/>
    <x v="3"/>
    <s v="C20"/>
    <n v="1"/>
    <n v="1"/>
    <n v="1"/>
    <x v="0"/>
    <n v="1"/>
    <n v="1"/>
    <n v="1"/>
  </r>
  <r>
    <s v="T4-L3-Z32_MC-C21"/>
    <x v="1"/>
    <x v="1"/>
    <s v="Z32_MC"/>
    <x v="3"/>
    <s v="C21"/>
    <n v="1"/>
    <n v="1"/>
    <n v="1"/>
    <x v="0"/>
    <n v="1"/>
    <n v="1"/>
    <n v="1"/>
  </r>
  <r>
    <s v="T4-L3-Z32_MC-C22"/>
    <x v="1"/>
    <x v="1"/>
    <s v="Z32_MC"/>
    <x v="3"/>
    <s v="C22"/>
    <n v="1"/>
    <n v="1"/>
    <n v="1"/>
    <x v="0"/>
    <n v="1"/>
    <n v="1"/>
    <n v="1"/>
  </r>
  <r>
    <s v="T4-L3-Z32_MC-C23"/>
    <x v="1"/>
    <x v="1"/>
    <s v="Z32_MC"/>
    <x v="3"/>
    <s v="C23"/>
    <m/>
    <m/>
    <m/>
    <x v="0"/>
    <m/>
    <m/>
    <m/>
  </r>
  <r>
    <s v="T4-L3-Z32_MC-C24"/>
    <x v="1"/>
    <x v="1"/>
    <s v="Z32_MC"/>
    <x v="3"/>
    <s v="C24"/>
    <m/>
    <m/>
    <m/>
    <x v="0"/>
    <m/>
    <m/>
    <m/>
  </r>
  <r>
    <s v="T4-L3-Z33_MC-C1"/>
    <x v="1"/>
    <x v="1"/>
    <s v="Z33_MC"/>
    <x v="3"/>
    <s v="C1"/>
    <m/>
    <m/>
    <m/>
    <x v="0"/>
    <m/>
    <m/>
    <m/>
  </r>
  <r>
    <s v="T4-L3-Z33_MC-C2"/>
    <x v="1"/>
    <x v="1"/>
    <s v="Z33_MC"/>
    <x v="3"/>
    <s v="C2"/>
    <m/>
    <m/>
    <m/>
    <x v="0"/>
    <m/>
    <m/>
    <m/>
  </r>
  <r>
    <s v="T4-L3-Z33_MC-C3"/>
    <x v="1"/>
    <x v="1"/>
    <s v="Z33_MC"/>
    <x v="3"/>
    <s v="C3"/>
    <m/>
    <m/>
    <m/>
    <x v="0"/>
    <m/>
    <m/>
    <m/>
  </r>
  <r>
    <s v="T4-L3-Z33_MC-C4"/>
    <x v="1"/>
    <x v="1"/>
    <s v="Z33_MC"/>
    <x v="3"/>
    <s v="C4"/>
    <m/>
    <m/>
    <m/>
    <x v="0"/>
    <m/>
    <m/>
    <m/>
  </r>
  <r>
    <s v="T4-L3-Z33_MC-C5"/>
    <x v="1"/>
    <x v="1"/>
    <s v="Z33_MC"/>
    <x v="3"/>
    <s v="C5"/>
    <m/>
    <m/>
    <m/>
    <x v="0"/>
    <m/>
    <m/>
    <m/>
  </r>
  <r>
    <s v="T4-L3-Z33_MC-C6"/>
    <x v="1"/>
    <x v="1"/>
    <s v="Z33_MC"/>
    <x v="3"/>
    <s v="C6"/>
    <m/>
    <m/>
    <m/>
    <x v="0"/>
    <m/>
    <m/>
    <m/>
  </r>
  <r>
    <s v="T4-L3-Z33_MC-C7"/>
    <x v="1"/>
    <x v="1"/>
    <s v="Z33_MC"/>
    <x v="3"/>
    <s v="C7"/>
    <m/>
    <m/>
    <m/>
    <x v="0"/>
    <m/>
    <m/>
    <m/>
  </r>
  <r>
    <s v="T4-L3-Z33_MC-C8"/>
    <x v="1"/>
    <x v="1"/>
    <s v="Z33_MC"/>
    <x v="3"/>
    <s v="C8"/>
    <m/>
    <m/>
    <m/>
    <x v="0"/>
    <m/>
    <m/>
    <m/>
  </r>
  <r>
    <s v="T4-L3-Z33_MC-C9"/>
    <x v="1"/>
    <x v="1"/>
    <s v="Z33_MC"/>
    <x v="3"/>
    <s v="C9"/>
    <m/>
    <m/>
    <m/>
    <x v="0"/>
    <m/>
    <m/>
    <m/>
  </r>
  <r>
    <s v="T4-L3-Z33_MC-C10"/>
    <x v="1"/>
    <x v="1"/>
    <s v="Z33_MC"/>
    <x v="3"/>
    <s v="C10"/>
    <m/>
    <m/>
    <m/>
    <x v="0"/>
    <m/>
    <m/>
    <m/>
  </r>
  <r>
    <s v="T4-L3-Z33_MC-C11"/>
    <x v="1"/>
    <x v="1"/>
    <s v="Z33_MC"/>
    <x v="3"/>
    <s v="C11"/>
    <m/>
    <m/>
    <m/>
    <x v="0"/>
    <m/>
    <m/>
    <m/>
  </r>
  <r>
    <s v="T4-L3-Z33_MC-C12"/>
    <x v="1"/>
    <x v="1"/>
    <s v="Z33_MC"/>
    <x v="3"/>
    <s v="C12"/>
    <m/>
    <m/>
    <m/>
    <x v="0"/>
    <m/>
    <m/>
    <m/>
  </r>
  <r>
    <s v="T4-L3-Z33_MC-C13"/>
    <x v="1"/>
    <x v="1"/>
    <s v="Z33_MC"/>
    <x v="3"/>
    <s v="C13"/>
    <m/>
    <m/>
    <m/>
    <x v="0"/>
    <m/>
    <m/>
    <m/>
  </r>
  <r>
    <s v="T4-L3-Z33_MC-C14"/>
    <x v="1"/>
    <x v="1"/>
    <s v="Z33_MC"/>
    <x v="3"/>
    <s v="C14"/>
    <m/>
    <m/>
    <m/>
    <x v="0"/>
    <m/>
    <m/>
    <m/>
  </r>
  <r>
    <s v="T4-L3-Z33_MC-C15"/>
    <x v="1"/>
    <x v="1"/>
    <s v="Z33_MC"/>
    <x v="3"/>
    <s v="C15"/>
    <m/>
    <m/>
    <m/>
    <x v="0"/>
    <m/>
    <m/>
    <m/>
  </r>
  <r>
    <s v="T4-L3-Z33_MC-C16"/>
    <x v="1"/>
    <x v="1"/>
    <s v="Z33_MC"/>
    <x v="3"/>
    <s v="C16"/>
    <m/>
    <m/>
    <m/>
    <x v="0"/>
    <m/>
    <m/>
    <m/>
  </r>
  <r>
    <s v="T4-L3-Z34_MC-C1"/>
    <x v="1"/>
    <x v="1"/>
    <s v="Z34_MC"/>
    <x v="3"/>
    <s v="C1"/>
    <m/>
    <m/>
    <m/>
    <x v="0"/>
    <m/>
    <m/>
    <m/>
  </r>
  <r>
    <s v="T4-L3-Z34_MC-C2"/>
    <x v="1"/>
    <x v="1"/>
    <s v="Z34_MC"/>
    <x v="3"/>
    <s v="C2"/>
    <m/>
    <m/>
    <m/>
    <x v="0"/>
    <m/>
    <m/>
    <m/>
  </r>
  <r>
    <s v="T4-L3-Z34_MC-C3"/>
    <x v="1"/>
    <x v="1"/>
    <s v="Z34_MC"/>
    <x v="3"/>
    <s v="C3"/>
    <m/>
    <m/>
    <m/>
    <x v="0"/>
    <m/>
    <m/>
    <m/>
  </r>
  <r>
    <s v="T4-L3-Z34_MC-C4"/>
    <x v="1"/>
    <x v="1"/>
    <s v="Z34_MC"/>
    <x v="3"/>
    <s v="C4"/>
    <m/>
    <m/>
    <m/>
    <x v="0"/>
    <m/>
    <m/>
    <m/>
  </r>
  <r>
    <s v="T4-L3-Z34_MC-C5"/>
    <x v="1"/>
    <x v="1"/>
    <s v="Z34_MC"/>
    <x v="3"/>
    <s v="C5"/>
    <m/>
    <m/>
    <m/>
    <x v="0"/>
    <m/>
    <m/>
    <m/>
  </r>
  <r>
    <s v="T4-L3-Z34_MC-C6"/>
    <x v="1"/>
    <x v="1"/>
    <s v="Z34_MC"/>
    <x v="3"/>
    <s v="C6"/>
    <m/>
    <m/>
    <m/>
    <x v="0"/>
    <m/>
    <m/>
    <m/>
  </r>
  <r>
    <s v="T4-L3-Z34_MC-C7"/>
    <x v="1"/>
    <x v="1"/>
    <s v="Z34_MC"/>
    <x v="3"/>
    <s v="C7"/>
    <m/>
    <m/>
    <m/>
    <x v="0"/>
    <m/>
    <m/>
    <m/>
  </r>
  <r>
    <s v="T4-L3-Z34_MC-C8"/>
    <x v="1"/>
    <x v="1"/>
    <s v="Z34_MC"/>
    <x v="3"/>
    <s v="C8"/>
    <m/>
    <m/>
    <m/>
    <x v="0"/>
    <m/>
    <m/>
    <m/>
  </r>
  <r>
    <s v="T4-L3-Z34_MC-C9"/>
    <x v="1"/>
    <x v="1"/>
    <s v="Z34_MC"/>
    <x v="3"/>
    <s v="C9"/>
    <m/>
    <m/>
    <m/>
    <x v="0"/>
    <m/>
    <m/>
    <m/>
  </r>
  <r>
    <s v="T4-L3-Z34_MC-C10"/>
    <x v="1"/>
    <x v="1"/>
    <s v="Z34_MC"/>
    <x v="3"/>
    <s v="C10"/>
    <m/>
    <m/>
    <m/>
    <x v="0"/>
    <m/>
    <m/>
    <m/>
  </r>
  <r>
    <s v="T4-L3-Z34_MC-C11"/>
    <x v="1"/>
    <x v="1"/>
    <s v="Z34_MC"/>
    <x v="3"/>
    <s v="C11"/>
    <m/>
    <m/>
    <m/>
    <x v="0"/>
    <m/>
    <m/>
    <m/>
  </r>
  <r>
    <s v="T4-L3-Z34_MC-C12"/>
    <x v="1"/>
    <x v="1"/>
    <s v="Z34_MC"/>
    <x v="3"/>
    <s v="C12"/>
    <m/>
    <m/>
    <m/>
    <x v="0"/>
    <m/>
    <m/>
    <m/>
  </r>
  <r>
    <s v="T4-L3-Z34_MC-C13"/>
    <x v="1"/>
    <x v="1"/>
    <s v="Z34_MC"/>
    <x v="3"/>
    <s v="C13"/>
    <m/>
    <m/>
    <m/>
    <x v="0"/>
    <m/>
    <m/>
    <m/>
  </r>
  <r>
    <s v="T4-L3-Z34_MC-C14"/>
    <x v="1"/>
    <x v="1"/>
    <s v="Z34_MC"/>
    <x v="3"/>
    <s v="C14"/>
    <m/>
    <m/>
    <m/>
    <x v="0"/>
    <m/>
    <m/>
    <m/>
  </r>
  <r>
    <s v="T4-L3-Z34_MC-C15"/>
    <x v="1"/>
    <x v="1"/>
    <s v="Z34_MC"/>
    <x v="3"/>
    <s v="C15"/>
    <m/>
    <m/>
    <m/>
    <x v="0"/>
    <m/>
    <m/>
    <m/>
  </r>
  <r>
    <s v="T4-L3-Z34_MC-C16"/>
    <x v="1"/>
    <x v="1"/>
    <s v="Z34_MC"/>
    <x v="3"/>
    <s v="C16"/>
    <m/>
    <m/>
    <m/>
    <x v="0"/>
    <m/>
    <m/>
    <m/>
  </r>
  <r>
    <s v="T4-L3-Z34_MC-C17"/>
    <x v="1"/>
    <x v="1"/>
    <s v="Z34_MC"/>
    <x v="3"/>
    <s v="C17"/>
    <m/>
    <m/>
    <m/>
    <x v="0"/>
    <m/>
    <m/>
    <m/>
  </r>
  <r>
    <s v="T4-L3-Z34_MC-C18"/>
    <x v="1"/>
    <x v="1"/>
    <s v="Z34_MC"/>
    <x v="3"/>
    <s v="C18"/>
    <m/>
    <m/>
    <m/>
    <x v="0"/>
    <m/>
    <m/>
    <m/>
  </r>
  <r>
    <s v="T4-L3-Z34_MC-C19"/>
    <x v="1"/>
    <x v="1"/>
    <s v="Z34_MC"/>
    <x v="3"/>
    <s v="C19"/>
    <m/>
    <m/>
    <m/>
    <x v="0"/>
    <m/>
    <m/>
    <m/>
  </r>
  <r>
    <s v="T4-L3-Z34_MC-C20"/>
    <x v="1"/>
    <x v="1"/>
    <s v="Z34_MC"/>
    <x v="3"/>
    <s v="C20"/>
    <m/>
    <m/>
    <m/>
    <x v="0"/>
    <m/>
    <m/>
    <m/>
  </r>
  <r>
    <s v="T4-L3-Z34_MC-C21"/>
    <x v="1"/>
    <x v="1"/>
    <s v="Z34_MC"/>
    <x v="3"/>
    <s v="C21"/>
    <m/>
    <m/>
    <m/>
    <x v="0"/>
    <m/>
    <m/>
    <m/>
  </r>
  <r>
    <s v="T4-L3-Z34_MC-C22"/>
    <x v="1"/>
    <x v="1"/>
    <s v="Z34_MC"/>
    <x v="3"/>
    <s v="C22"/>
    <m/>
    <m/>
    <m/>
    <x v="0"/>
    <m/>
    <m/>
    <m/>
  </r>
  <r>
    <s v="T4-L3-Z34_MC-C23"/>
    <x v="1"/>
    <x v="1"/>
    <s v="Z34_MC"/>
    <x v="3"/>
    <s v="C23"/>
    <m/>
    <m/>
    <m/>
    <x v="0"/>
    <m/>
    <m/>
    <m/>
  </r>
  <r>
    <s v="T4-L3-Z34_MC-C24"/>
    <x v="1"/>
    <x v="1"/>
    <s v="Z34_MC"/>
    <x v="3"/>
    <s v="C24"/>
    <m/>
    <m/>
    <m/>
    <x v="0"/>
    <m/>
    <m/>
    <m/>
  </r>
  <r>
    <s v="T4-L3-Z34_MC-C25"/>
    <x v="1"/>
    <x v="1"/>
    <s v="Z34_MC"/>
    <x v="3"/>
    <s v="C25"/>
    <m/>
    <m/>
    <m/>
    <x v="0"/>
    <m/>
    <m/>
    <m/>
  </r>
  <r>
    <s v="T4-L3-Z34_MC-C26"/>
    <x v="1"/>
    <x v="1"/>
    <s v="Z34_MC"/>
    <x v="3"/>
    <s v="C26"/>
    <m/>
    <m/>
    <m/>
    <x v="0"/>
    <m/>
    <m/>
    <m/>
  </r>
  <r>
    <s v="T4-L3-Z34_MC-C27"/>
    <x v="1"/>
    <x v="1"/>
    <s v="Z34_MC"/>
    <x v="3"/>
    <s v="C27"/>
    <m/>
    <m/>
    <m/>
    <x v="0"/>
    <m/>
    <m/>
    <m/>
  </r>
  <r>
    <s v="T4-L3-Polyesterene-C1"/>
    <x v="1"/>
    <x v="1"/>
    <s v="Polyesterene"/>
    <x v="3"/>
    <s v="C1"/>
    <n v="0"/>
    <n v="0"/>
    <n v="0"/>
    <x v="2"/>
    <n v="1"/>
    <n v="1"/>
    <n v="1"/>
  </r>
  <r>
    <s v="T4-L3-Polyesterene-C2"/>
    <x v="1"/>
    <x v="1"/>
    <s v="Polyesterene"/>
    <x v="3"/>
    <s v="C2"/>
    <n v="0"/>
    <n v="0"/>
    <n v="0"/>
    <x v="2"/>
    <n v="1"/>
    <n v="1"/>
    <n v="1"/>
  </r>
  <r>
    <s v="T4-L3-Polyesterene-C3"/>
    <x v="1"/>
    <x v="1"/>
    <s v="Polyesterene"/>
    <x v="3"/>
    <s v="C3"/>
    <n v="0"/>
    <n v="0"/>
    <n v="0"/>
    <x v="2"/>
    <n v="1"/>
    <n v="1"/>
    <n v="1"/>
  </r>
  <r>
    <s v="T4-L3-Polyesterene-C4"/>
    <x v="1"/>
    <x v="1"/>
    <s v="Polyesterene"/>
    <x v="3"/>
    <s v="C4"/>
    <n v="0"/>
    <n v="0"/>
    <n v="0"/>
    <x v="2"/>
    <n v="1"/>
    <n v="1"/>
    <n v="1"/>
  </r>
  <r>
    <s v="T4-L3-Polyesterene-C5"/>
    <x v="1"/>
    <x v="1"/>
    <s v="Polyesterene"/>
    <x v="3"/>
    <s v="C5"/>
    <n v="0"/>
    <n v="0"/>
    <n v="0"/>
    <x v="2"/>
    <n v="1"/>
    <n v="1"/>
    <n v="1"/>
  </r>
  <r>
    <s v="T4-L3-Polyesterene-C6"/>
    <x v="1"/>
    <x v="1"/>
    <s v="Polyesterene"/>
    <x v="3"/>
    <s v="C6"/>
    <n v="0"/>
    <n v="0"/>
    <n v="0"/>
    <x v="2"/>
    <n v="1"/>
    <n v="1"/>
    <n v="1"/>
  </r>
  <r>
    <s v="T4-L3-Polyesterene-C7"/>
    <x v="1"/>
    <x v="1"/>
    <s v="Polyesterene"/>
    <x v="3"/>
    <s v="C7"/>
    <n v="0"/>
    <n v="0"/>
    <n v="0"/>
    <x v="2"/>
    <n v="1"/>
    <n v="1"/>
    <n v="1"/>
  </r>
  <r>
    <s v="T4-L3-Polyesterene-C8"/>
    <x v="1"/>
    <x v="1"/>
    <s v="Polyesterene"/>
    <x v="3"/>
    <s v="C8"/>
    <n v="0"/>
    <n v="0"/>
    <n v="0"/>
    <x v="2"/>
    <n v="1"/>
    <n v="1"/>
    <n v="1"/>
  </r>
  <r>
    <s v="T4-L3-Polyesterene-C9"/>
    <x v="1"/>
    <x v="1"/>
    <s v="Polyesterene"/>
    <x v="3"/>
    <s v="C9"/>
    <n v="0"/>
    <n v="0"/>
    <n v="0"/>
    <x v="2"/>
    <n v="1"/>
    <n v="1"/>
    <n v="1"/>
  </r>
  <r>
    <s v="T4-L3-Polyesterene-C10"/>
    <x v="1"/>
    <x v="1"/>
    <s v="Polyesterene"/>
    <x v="3"/>
    <s v="C10"/>
    <n v="0"/>
    <n v="0"/>
    <n v="0"/>
    <x v="2"/>
    <n v="1"/>
    <n v="1"/>
    <n v="1"/>
  </r>
  <r>
    <s v="T4-L3-Polyesterene-C11"/>
    <x v="1"/>
    <x v="1"/>
    <s v="Polyesterene"/>
    <x v="3"/>
    <s v="C11"/>
    <n v="0"/>
    <n v="0"/>
    <n v="0"/>
    <x v="2"/>
    <n v="1"/>
    <n v="1"/>
    <n v="1"/>
  </r>
  <r>
    <s v="T4-L3-Polyesterene-C12"/>
    <x v="1"/>
    <x v="1"/>
    <s v="Polyesterene"/>
    <x v="3"/>
    <s v="C12"/>
    <n v="0"/>
    <n v="0"/>
    <n v="0"/>
    <x v="2"/>
    <n v="1"/>
    <n v="1"/>
    <n v="1"/>
  </r>
  <r>
    <s v="T4-L3-Polyesterene-C13"/>
    <x v="1"/>
    <x v="1"/>
    <s v="Polyesterene"/>
    <x v="3"/>
    <s v="C13"/>
    <n v="0"/>
    <n v="0"/>
    <n v="0"/>
    <x v="2"/>
    <n v="1"/>
    <n v="1"/>
    <n v="1"/>
  </r>
  <r>
    <s v="T4-L3-Polyesterene-C14"/>
    <x v="1"/>
    <x v="1"/>
    <s v="Polyesterene"/>
    <x v="3"/>
    <s v="C14"/>
    <n v="0"/>
    <n v="0"/>
    <n v="0"/>
    <x v="2"/>
    <n v="1"/>
    <n v="1"/>
    <n v="1"/>
  </r>
  <r>
    <s v="T4-L3-Polyesterene-C15"/>
    <x v="1"/>
    <x v="1"/>
    <s v="Polyesterene"/>
    <x v="3"/>
    <s v="C15"/>
    <n v="0"/>
    <n v="0"/>
    <n v="0"/>
    <x v="2"/>
    <n v="1"/>
    <n v="1"/>
    <n v="1"/>
  </r>
  <r>
    <s v="T4-L3-Polyesterene-C16"/>
    <x v="1"/>
    <x v="1"/>
    <s v="Polyesterene"/>
    <x v="3"/>
    <s v="C16"/>
    <n v="0"/>
    <n v="0"/>
    <n v="0"/>
    <x v="2"/>
    <n v="1"/>
    <n v="1"/>
    <n v="1"/>
  </r>
  <r>
    <s v="T4-L3-Polyesterene-C17"/>
    <x v="1"/>
    <x v="1"/>
    <s v="Polyesterene"/>
    <x v="3"/>
    <s v="C17"/>
    <n v="0"/>
    <n v="0"/>
    <n v="0"/>
    <x v="2"/>
    <n v="1"/>
    <n v="1"/>
    <n v="1"/>
  </r>
  <r>
    <s v="T4-L3-Polyesterene-C18"/>
    <x v="1"/>
    <x v="1"/>
    <s v="Polyesterene"/>
    <x v="3"/>
    <s v="C18"/>
    <n v="0"/>
    <n v="0"/>
    <n v="0"/>
    <x v="2"/>
    <n v="1"/>
    <n v="1"/>
    <n v="1"/>
  </r>
  <r>
    <s v="T4-L3-Polyesterene-C19"/>
    <x v="1"/>
    <x v="1"/>
    <s v="Polyesterene"/>
    <x v="3"/>
    <s v="C19"/>
    <n v="0"/>
    <n v="0"/>
    <n v="0"/>
    <x v="2"/>
    <n v="1"/>
    <n v="1"/>
    <n v="1"/>
  </r>
  <r>
    <s v="T4-L3-Polyesterene-C20"/>
    <x v="1"/>
    <x v="1"/>
    <s v="Polyesterene"/>
    <x v="3"/>
    <s v="C20"/>
    <n v="0"/>
    <n v="0"/>
    <n v="0"/>
    <x v="2"/>
    <n v="1"/>
    <n v="1"/>
    <n v="1"/>
  </r>
  <r>
    <s v="T4-L3-Polyesterene-C21"/>
    <x v="1"/>
    <x v="1"/>
    <s v="Polyesterene"/>
    <x v="3"/>
    <s v="C21"/>
    <n v="0"/>
    <n v="0"/>
    <n v="0"/>
    <x v="2"/>
    <n v="1"/>
    <n v="1"/>
    <n v="1"/>
  </r>
  <r>
    <s v="T4-L3-Polyesterene-C22"/>
    <x v="1"/>
    <x v="1"/>
    <s v="Polyesterene"/>
    <x v="3"/>
    <s v="C22"/>
    <n v="0"/>
    <n v="0"/>
    <n v="0"/>
    <x v="2"/>
    <n v="1"/>
    <n v="1"/>
    <n v="1"/>
  </r>
  <r>
    <s v="T4-L3-Polyesterene-C23"/>
    <x v="1"/>
    <x v="1"/>
    <s v="Polyesterene"/>
    <x v="3"/>
    <s v="C23"/>
    <n v="0"/>
    <n v="0"/>
    <n v="0"/>
    <x v="2"/>
    <n v="1"/>
    <n v="1"/>
    <n v="1"/>
  </r>
  <r>
    <s v="T4-L3-Polyesterene-C24"/>
    <x v="1"/>
    <x v="1"/>
    <s v="Polyesterene"/>
    <x v="3"/>
    <s v="C24"/>
    <n v="0"/>
    <n v="0"/>
    <n v="0"/>
    <x v="2"/>
    <n v="1"/>
    <n v="1"/>
    <n v="1"/>
  </r>
  <r>
    <s v="T4-L3-Polyesterene-C25"/>
    <x v="1"/>
    <x v="1"/>
    <s v="Polyesterene"/>
    <x v="3"/>
    <s v="C25"/>
    <n v="0"/>
    <n v="0"/>
    <n v="0"/>
    <x v="2"/>
    <n v="1"/>
    <n v="1"/>
    <n v="1"/>
  </r>
  <r>
    <s v="T4-L3-Polyesterene-C26"/>
    <x v="1"/>
    <x v="1"/>
    <s v="Polyesterene"/>
    <x v="3"/>
    <s v="C26"/>
    <n v="0"/>
    <n v="0"/>
    <n v="0"/>
    <x v="2"/>
    <n v="1"/>
    <n v="1"/>
    <n v="1"/>
  </r>
  <r>
    <s v="T4-L3-Polyesterene-C27"/>
    <x v="1"/>
    <x v="1"/>
    <s v="Polyesterene"/>
    <x v="3"/>
    <s v="C27"/>
    <n v="0"/>
    <n v="0"/>
    <n v="0"/>
    <x v="2"/>
    <n v="1"/>
    <n v="1"/>
    <n v="1"/>
  </r>
  <r>
    <s v="T4-L3-Polyesterene-C28"/>
    <x v="1"/>
    <x v="1"/>
    <s v="Polyesterene"/>
    <x v="3"/>
    <s v="C28"/>
    <n v="0"/>
    <n v="0"/>
    <n v="0"/>
    <x v="2"/>
    <n v="1"/>
    <n v="1"/>
    <n v="1"/>
  </r>
  <r>
    <s v="T4-L3-Polyesterene-C29"/>
    <x v="1"/>
    <x v="1"/>
    <s v="Polyesterene"/>
    <x v="3"/>
    <s v="C29"/>
    <n v="0"/>
    <n v="0"/>
    <n v="0"/>
    <x v="2"/>
    <n v="1"/>
    <n v="1"/>
    <n v="1"/>
  </r>
  <r>
    <s v="T4-L3-Polyesterene-C30"/>
    <x v="1"/>
    <x v="1"/>
    <s v="Polyesterene"/>
    <x v="3"/>
    <s v="C30"/>
    <n v="0"/>
    <n v="0"/>
    <n v="0"/>
    <x v="2"/>
    <n v="1"/>
    <n v="1"/>
    <n v="1"/>
  </r>
  <r>
    <s v="T4-L3-Polyesterene-C31"/>
    <x v="1"/>
    <x v="1"/>
    <s v="Polyesterene"/>
    <x v="3"/>
    <s v="C31"/>
    <n v="0"/>
    <n v="0"/>
    <n v="0"/>
    <x v="2"/>
    <n v="1"/>
    <n v="1"/>
    <n v="1"/>
  </r>
  <r>
    <s v="T4-L3-Polyesterene-C32"/>
    <x v="1"/>
    <x v="1"/>
    <s v="Polyesterene"/>
    <x v="3"/>
    <s v="C32"/>
    <n v="0"/>
    <n v="0"/>
    <n v="0"/>
    <x v="2"/>
    <n v="1"/>
    <n v="1"/>
    <n v="1"/>
  </r>
  <r>
    <s v="T4-L3-Polyesterene-C33"/>
    <x v="1"/>
    <x v="1"/>
    <s v="Polyesterene"/>
    <x v="3"/>
    <s v="C33"/>
    <n v="0"/>
    <n v="0"/>
    <n v="0"/>
    <x v="2"/>
    <n v="1"/>
    <n v="1"/>
    <n v="1"/>
  </r>
  <r>
    <s v="T4-L3-Polyesterene-C34"/>
    <x v="1"/>
    <x v="1"/>
    <s v="Polyesterene"/>
    <x v="3"/>
    <s v="C34"/>
    <n v="0"/>
    <n v="0"/>
    <n v="0"/>
    <x v="2"/>
    <n v="1"/>
    <n v="1"/>
    <n v="1"/>
  </r>
  <r>
    <s v="T4-L3-Polyesterene-C35"/>
    <x v="1"/>
    <x v="1"/>
    <s v="Polyesterene"/>
    <x v="3"/>
    <s v="C35"/>
    <n v="0"/>
    <n v="0"/>
    <n v="0"/>
    <x v="2"/>
    <n v="1"/>
    <n v="1"/>
    <n v="1"/>
  </r>
  <r>
    <s v="T4-L3-Polyesterene-C36"/>
    <x v="1"/>
    <x v="1"/>
    <s v="Polyesterene"/>
    <x v="3"/>
    <s v="C36"/>
    <n v="0"/>
    <n v="0"/>
    <n v="0"/>
    <x v="2"/>
    <n v="1"/>
    <n v="1"/>
    <n v="1"/>
  </r>
  <r>
    <s v="T4-L3-Polyesterene-C37"/>
    <x v="1"/>
    <x v="1"/>
    <s v="Polyesterene"/>
    <x v="3"/>
    <s v="C37"/>
    <n v="0"/>
    <n v="0"/>
    <n v="0"/>
    <x v="2"/>
    <n v="1"/>
    <n v="1"/>
    <n v="1"/>
  </r>
  <r>
    <s v="T4-L3-Polyesterene-C38"/>
    <x v="1"/>
    <x v="1"/>
    <s v="Polyesterene"/>
    <x v="3"/>
    <s v="C38"/>
    <n v="0"/>
    <n v="0"/>
    <n v="0"/>
    <x v="2"/>
    <n v="1"/>
    <n v="1"/>
    <n v="1"/>
  </r>
  <r>
    <s v="T4-L3-Polyesterene-C39"/>
    <x v="1"/>
    <x v="1"/>
    <s v="Polyesterene"/>
    <x v="3"/>
    <s v="C39"/>
    <n v="0"/>
    <n v="0"/>
    <n v="0"/>
    <x v="2"/>
    <n v="1"/>
    <n v="1"/>
    <n v="1"/>
  </r>
  <r>
    <s v="T4-L3-Polyesterene-C40"/>
    <x v="1"/>
    <x v="1"/>
    <s v="Polyesterene"/>
    <x v="3"/>
    <s v="C40"/>
    <n v="0"/>
    <n v="0"/>
    <n v="0"/>
    <x v="2"/>
    <n v="1"/>
    <n v="1"/>
    <n v="1"/>
  </r>
  <r>
    <s v="T4-L3-Polyesterene-C41"/>
    <x v="1"/>
    <x v="1"/>
    <s v="Polyesterene"/>
    <x v="3"/>
    <s v="C41"/>
    <n v="0"/>
    <n v="0"/>
    <n v="0"/>
    <x v="2"/>
    <n v="1"/>
    <n v="1"/>
    <n v="1"/>
  </r>
  <r>
    <s v="T4-L3-Polyesterene-C42"/>
    <x v="1"/>
    <x v="1"/>
    <s v="Polyesterene"/>
    <x v="3"/>
    <s v="C42"/>
    <n v="0"/>
    <n v="0"/>
    <n v="0"/>
    <x v="2"/>
    <n v="1"/>
    <n v="1"/>
    <n v="1"/>
  </r>
  <r>
    <s v="T4-L3-Polyesterene-C43"/>
    <x v="1"/>
    <x v="1"/>
    <s v="Polyesterene"/>
    <x v="3"/>
    <s v="C43"/>
    <n v="0"/>
    <n v="0"/>
    <n v="0"/>
    <x v="2"/>
    <n v="1"/>
    <n v="1"/>
    <n v="1"/>
  </r>
  <r>
    <s v="T4-L3-Polyesterene-C44"/>
    <x v="1"/>
    <x v="1"/>
    <s v="Polyesterene"/>
    <x v="3"/>
    <s v="C44"/>
    <n v="0"/>
    <n v="0"/>
    <n v="0"/>
    <x v="2"/>
    <n v="1"/>
    <n v="1"/>
    <n v="1"/>
  </r>
  <r>
    <s v="T4-L3-Polyesterene-C45"/>
    <x v="1"/>
    <x v="1"/>
    <s v="Polyesterene"/>
    <x v="3"/>
    <s v="C45"/>
    <n v="0"/>
    <n v="0"/>
    <n v="0"/>
    <x v="2"/>
    <n v="1"/>
    <n v="1"/>
    <n v="1"/>
  </r>
  <r>
    <s v="T4-L3-Polyesterene-C46"/>
    <x v="1"/>
    <x v="1"/>
    <s v="Polyesterene"/>
    <x v="3"/>
    <s v="C46"/>
    <n v="0"/>
    <n v="0"/>
    <n v="0"/>
    <x v="2"/>
    <n v="1"/>
    <n v="1"/>
    <n v="1"/>
  </r>
  <r>
    <s v="T4-L3-Polyesterene-C47"/>
    <x v="1"/>
    <x v="1"/>
    <s v="Polyesterene"/>
    <x v="3"/>
    <s v="C47"/>
    <n v="0"/>
    <n v="0"/>
    <n v="0"/>
    <x v="2"/>
    <n v="1"/>
    <n v="1"/>
    <n v="1"/>
  </r>
  <r>
    <s v="T4-L3-Polyesterene-C48"/>
    <x v="1"/>
    <x v="1"/>
    <s v="Polyesterene"/>
    <x v="3"/>
    <s v="C48"/>
    <n v="0"/>
    <n v="0"/>
    <n v="0"/>
    <x v="2"/>
    <n v="1"/>
    <n v="1"/>
    <n v="1"/>
  </r>
  <r>
    <s v="T4-L3-Polyesterene-C49"/>
    <x v="1"/>
    <x v="1"/>
    <s v="Polyesterene"/>
    <x v="3"/>
    <s v="C49"/>
    <n v="0"/>
    <n v="0"/>
    <n v="0"/>
    <x v="2"/>
    <n v="1"/>
    <n v="1"/>
    <n v="1"/>
  </r>
  <r>
    <s v="T4-L3-Polyesterene-C50"/>
    <x v="1"/>
    <x v="1"/>
    <s v="Polyesterene"/>
    <x v="3"/>
    <s v="C50"/>
    <n v="0"/>
    <n v="0"/>
    <n v="0"/>
    <x v="2"/>
    <n v="1"/>
    <n v="1"/>
    <n v="1"/>
  </r>
  <r>
    <s v="T4-L2-Stiffener-C1"/>
    <x v="1"/>
    <x v="3"/>
    <s v="Stiffener"/>
    <x v="3"/>
    <s v="C1"/>
    <m/>
    <m/>
    <m/>
    <x v="1"/>
    <m/>
    <m/>
    <m/>
  </r>
  <r>
    <s v="T4-L2-Stiffener-C2"/>
    <x v="1"/>
    <x v="3"/>
    <s v="Stiffener"/>
    <x v="3"/>
    <s v="C2"/>
    <m/>
    <m/>
    <m/>
    <x v="1"/>
    <m/>
    <m/>
    <m/>
  </r>
  <r>
    <s v="T4-L2-Stiffener-C3"/>
    <x v="1"/>
    <x v="3"/>
    <s v="Stiffener"/>
    <x v="3"/>
    <s v="C3"/>
    <m/>
    <m/>
    <m/>
    <x v="1"/>
    <m/>
    <m/>
    <m/>
  </r>
  <r>
    <s v="T4-L2-Stiffener-C4"/>
    <x v="1"/>
    <x v="3"/>
    <s v="Stiffener"/>
    <x v="3"/>
    <s v="C4"/>
    <m/>
    <m/>
    <m/>
    <x v="1"/>
    <m/>
    <m/>
    <m/>
  </r>
  <r>
    <s v="T4-L1M-COB-C1"/>
    <x v="1"/>
    <x v="4"/>
    <s v="COB"/>
    <x v="3"/>
    <s v="C1"/>
    <n v="1"/>
    <n v="1"/>
    <n v="1"/>
    <x v="1"/>
    <n v="1"/>
    <n v="1"/>
    <n v="1"/>
  </r>
  <r>
    <s v="T4-L1M-Column_All-C1"/>
    <x v="1"/>
    <x v="4"/>
    <s v="Column_All"/>
    <x v="3"/>
    <s v="C1"/>
    <n v="1"/>
    <n v="1"/>
    <n v="1"/>
    <x v="1"/>
    <n v="1"/>
    <n v="1"/>
    <n v="1"/>
  </r>
  <r>
    <s v="T4-L1M-Column_All-C2"/>
    <x v="1"/>
    <x v="4"/>
    <s v="Column_All"/>
    <x v="3"/>
    <s v="C2"/>
    <n v="1"/>
    <n v="1"/>
    <n v="1"/>
    <x v="1"/>
    <n v="1"/>
    <n v="1"/>
    <n v="1"/>
  </r>
  <r>
    <s v="T4-L1M-Column_All-C3"/>
    <x v="1"/>
    <x v="4"/>
    <s v="Column_All"/>
    <x v="3"/>
    <s v="C3"/>
    <n v="1"/>
    <n v="1"/>
    <n v="1"/>
    <x v="1"/>
    <n v="1"/>
    <n v="1"/>
    <n v="1"/>
  </r>
  <r>
    <s v="T4-L1M-Column_All-C4"/>
    <x v="1"/>
    <x v="4"/>
    <s v="Column_All"/>
    <x v="3"/>
    <s v="C4"/>
    <n v="1"/>
    <n v="1"/>
    <n v="1"/>
    <x v="1"/>
    <n v="1"/>
    <n v="1"/>
    <n v="1"/>
  </r>
  <r>
    <s v="T4-L1M-Column_All-C5"/>
    <x v="1"/>
    <x v="4"/>
    <s v="Column_All"/>
    <x v="3"/>
    <s v="C5"/>
    <n v="1"/>
    <n v="1"/>
    <n v="1"/>
    <x v="1"/>
    <n v="1"/>
    <n v="1"/>
    <n v="1"/>
  </r>
  <r>
    <s v="T4-L1M-Column_All-C6"/>
    <x v="1"/>
    <x v="4"/>
    <s v="Column_All"/>
    <x v="3"/>
    <s v="C6"/>
    <n v="1"/>
    <n v="1"/>
    <n v="1"/>
    <x v="1"/>
    <n v="1"/>
    <n v="1"/>
    <n v="1"/>
  </r>
  <r>
    <s v="T4-L1M-Column_All-C7"/>
    <x v="1"/>
    <x v="4"/>
    <s v="Column_All"/>
    <x v="3"/>
    <s v="C7"/>
    <n v="1"/>
    <n v="1"/>
    <n v="1"/>
    <x v="1"/>
    <n v="1"/>
    <n v="1"/>
    <n v="1"/>
  </r>
  <r>
    <s v="T4-L1M-Column_All-C8"/>
    <x v="1"/>
    <x v="4"/>
    <s v="Column_All"/>
    <x v="3"/>
    <s v="C8"/>
    <n v="1"/>
    <n v="1"/>
    <n v="1"/>
    <x v="1"/>
    <n v="1"/>
    <n v="1"/>
    <n v="1"/>
  </r>
  <r>
    <s v="T4-L1M-Column_All-C9"/>
    <x v="1"/>
    <x v="4"/>
    <s v="Column_All"/>
    <x v="3"/>
    <s v="C9"/>
    <n v="1"/>
    <n v="1"/>
    <n v="1"/>
    <x v="1"/>
    <n v="1"/>
    <n v="1"/>
    <n v="1"/>
  </r>
  <r>
    <s v="T4-L1M-Column_All-C10"/>
    <x v="1"/>
    <x v="4"/>
    <s v="Column_All"/>
    <x v="3"/>
    <s v="C10"/>
    <n v="1"/>
    <n v="1"/>
    <n v="1"/>
    <x v="1"/>
    <n v="1"/>
    <n v="1"/>
    <n v="1"/>
  </r>
  <r>
    <s v="T4-L1M-Column_All-C11"/>
    <x v="1"/>
    <x v="4"/>
    <s v="Column_All"/>
    <x v="3"/>
    <s v="C11"/>
    <n v="1"/>
    <n v="1"/>
    <n v="1"/>
    <x v="1"/>
    <n v="1"/>
    <n v="1"/>
    <n v="1"/>
  </r>
  <r>
    <s v="T4-L1M-Column_All-C12"/>
    <x v="1"/>
    <x v="4"/>
    <s v="Column_All"/>
    <x v="3"/>
    <s v="C12"/>
    <n v="1"/>
    <n v="1"/>
    <n v="1"/>
    <x v="1"/>
    <n v="1"/>
    <n v="1"/>
    <n v="1"/>
  </r>
  <r>
    <s v="T4-L1M-Column_All-C13"/>
    <x v="1"/>
    <x v="4"/>
    <s v="Column_All"/>
    <x v="3"/>
    <s v="C13"/>
    <n v="1"/>
    <n v="1"/>
    <n v="1"/>
    <x v="1"/>
    <n v="1"/>
    <n v="1"/>
    <n v="1"/>
  </r>
  <r>
    <s v="T4-L1M-Column_All-C14"/>
    <x v="1"/>
    <x v="4"/>
    <s v="Column_All"/>
    <x v="3"/>
    <s v="C14"/>
    <n v="1"/>
    <n v="1"/>
    <n v="1"/>
    <x v="1"/>
    <n v="1"/>
    <n v="1"/>
    <n v="1"/>
  </r>
  <r>
    <s v="T4-L1M-Column_All-C15"/>
    <x v="1"/>
    <x v="4"/>
    <s v="Column_All"/>
    <x v="3"/>
    <s v="C15"/>
    <n v="1"/>
    <n v="1"/>
    <n v="1"/>
    <x v="1"/>
    <n v="1"/>
    <n v="1"/>
    <n v="1"/>
  </r>
  <r>
    <s v="T4-L1M-Column_All-C16"/>
    <x v="1"/>
    <x v="4"/>
    <s v="Column_All"/>
    <x v="3"/>
    <s v="C16"/>
    <n v="1"/>
    <n v="1"/>
    <n v="1"/>
    <x v="1"/>
    <n v="1"/>
    <n v="1"/>
    <n v="1"/>
  </r>
  <r>
    <s v="T4-L1M-Column_All-C17"/>
    <x v="1"/>
    <x v="4"/>
    <s v="Column_All"/>
    <x v="3"/>
    <s v="C17"/>
    <n v="1"/>
    <n v="1"/>
    <n v="1"/>
    <x v="1"/>
    <n v="1"/>
    <n v="1"/>
    <n v="1"/>
  </r>
  <r>
    <s v="T4-L1M-Column_All-C18"/>
    <x v="1"/>
    <x v="4"/>
    <s v="Column_All"/>
    <x v="3"/>
    <s v="C18"/>
    <n v="1"/>
    <n v="1"/>
    <n v="1"/>
    <x v="1"/>
    <n v="1"/>
    <n v="1"/>
    <n v="1"/>
  </r>
  <r>
    <s v="T4-L1M-Column_All-C19"/>
    <x v="1"/>
    <x v="4"/>
    <s v="Column_All"/>
    <x v="3"/>
    <s v="C19"/>
    <n v="1"/>
    <n v="1"/>
    <n v="1"/>
    <x v="1"/>
    <n v="1"/>
    <n v="1"/>
    <n v="1"/>
  </r>
  <r>
    <s v="T4-L1M-Column_All-C20"/>
    <x v="1"/>
    <x v="4"/>
    <s v="Column_All"/>
    <x v="3"/>
    <s v="C20"/>
    <n v="1"/>
    <n v="1"/>
    <n v="1"/>
    <x v="1"/>
    <n v="1"/>
    <n v="1"/>
    <n v="1"/>
  </r>
  <r>
    <s v="T4-L1M-Column_All-C21"/>
    <x v="1"/>
    <x v="4"/>
    <s v="Column_All"/>
    <x v="3"/>
    <s v="C21"/>
    <n v="1"/>
    <n v="1"/>
    <n v="1"/>
    <x v="1"/>
    <n v="1"/>
    <n v="1"/>
    <n v="1"/>
  </r>
  <r>
    <s v="T4-L1M-Column_All-C22"/>
    <x v="1"/>
    <x v="4"/>
    <s v="Column_All"/>
    <x v="3"/>
    <s v="C22"/>
    <n v="1"/>
    <n v="1"/>
    <n v="1"/>
    <x v="1"/>
    <n v="1"/>
    <n v="1"/>
    <n v="1"/>
  </r>
  <r>
    <s v="T4-L1M-Column_All-C23"/>
    <x v="1"/>
    <x v="4"/>
    <s v="Column_All"/>
    <x v="3"/>
    <s v="C23"/>
    <n v="1"/>
    <n v="1"/>
    <n v="1"/>
    <x v="1"/>
    <n v="1"/>
    <n v="1"/>
    <n v="1"/>
  </r>
  <r>
    <s v="T4-L1M-Column_All-C24"/>
    <x v="1"/>
    <x v="4"/>
    <s v="Column_All"/>
    <x v="3"/>
    <s v="C24"/>
    <n v="1"/>
    <n v="1"/>
    <n v="1"/>
    <x v="1"/>
    <n v="1"/>
    <n v="1"/>
    <n v="1"/>
  </r>
  <r>
    <s v="T4-L1M-Column_All-C25"/>
    <x v="1"/>
    <x v="4"/>
    <s v="Column_All"/>
    <x v="3"/>
    <s v="C25"/>
    <n v="1"/>
    <n v="1"/>
    <n v="1"/>
    <x v="1"/>
    <n v="1"/>
    <n v="1"/>
    <n v="1"/>
  </r>
  <r>
    <s v="T4-L1M-Column_All-C26"/>
    <x v="1"/>
    <x v="4"/>
    <s v="Column_All"/>
    <x v="3"/>
    <s v="C26"/>
    <n v="1"/>
    <n v="1"/>
    <n v="1"/>
    <x v="1"/>
    <n v="1"/>
    <n v="1"/>
    <n v="1"/>
  </r>
  <r>
    <s v="T4-L1M-Column_All-C27"/>
    <x v="1"/>
    <x v="4"/>
    <s v="Column_All"/>
    <x v="3"/>
    <s v="C27"/>
    <n v="1"/>
    <n v="1"/>
    <n v="1"/>
    <x v="1"/>
    <n v="1"/>
    <n v="1"/>
    <n v="1"/>
  </r>
  <r>
    <s v="T4-L1M-Column_All-C28"/>
    <x v="1"/>
    <x v="4"/>
    <s v="Column_All"/>
    <x v="3"/>
    <s v="C28"/>
    <n v="1"/>
    <n v="1"/>
    <n v="1"/>
    <x v="1"/>
    <n v="1"/>
    <n v="1"/>
    <n v="1"/>
  </r>
  <r>
    <s v="T4-L1M-Column_All-C29"/>
    <x v="1"/>
    <x v="4"/>
    <s v="Column_All"/>
    <x v="3"/>
    <s v="C29"/>
    <n v="1"/>
    <n v="1"/>
    <n v="1"/>
    <x v="1"/>
    <n v="1"/>
    <n v="1"/>
    <n v="1"/>
  </r>
  <r>
    <s v="T4-L1M-Column_All-C30"/>
    <x v="1"/>
    <x v="4"/>
    <s v="Column_All"/>
    <x v="3"/>
    <s v="C30"/>
    <n v="1"/>
    <n v="1"/>
    <n v="1"/>
    <x v="1"/>
    <n v="1"/>
    <n v="1"/>
    <n v="1"/>
  </r>
  <r>
    <s v="T4-L1M-Column_All-C31"/>
    <x v="1"/>
    <x v="4"/>
    <s v="Column_All"/>
    <x v="3"/>
    <s v="C31"/>
    <n v="1"/>
    <n v="1"/>
    <n v="1"/>
    <x v="1"/>
    <n v="1"/>
    <n v="1"/>
    <n v="1"/>
  </r>
  <r>
    <s v="T4-L1M-Column_All-C32"/>
    <x v="1"/>
    <x v="4"/>
    <s v="Column_All"/>
    <x v="3"/>
    <s v="C32"/>
    <n v="1"/>
    <n v="1"/>
    <n v="1"/>
    <x v="1"/>
    <n v="1"/>
    <n v="1"/>
    <n v="1"/>
  </r>
  <r>
    <s v="T4-L1M-Column_All-C33"/>
    <x v="1"/>
    <x v="4"/>
    <s v="Column_All"/>
    <x v="3"/>
    <s v="C33"/>
    <n v="1"/>
    <n v="1"/>
    <n v="1"/>
    <x v="1"/>
    <n v="1"/>
    <n v="1"/>
    <n v="1"/>
  </r>
  <r>
    <s v="T4-L1M-Column_All-C34"/>
    <x v="1"/>
    <x v="4"/>
    <s v="Column_All"/>
    <x v="3"/>
    <s v="C34"/>
    <n v="1"/>
    <n v="1"/>
    <n v="1"/>
    <x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4"/>
    <s v="L1"/>
    <x v="0"/>
    <n v="68"/>
    <n v="53.666666666666664"/>
    <n v="61.666666666666664"/>
    <n v="0.78921568627450978"/>
    <n v="0.90686274509803921"/>
  </r>
  <r>
    <s v="T4"/>
    <s v="L1"/>
    <x v="1"/>
    <n v="24"/>
    <n v="24"/>
    <n v="24"/>
    <n v="1"/>
    <n v="1"/>
  </r>
  <r>
    <s v="T4"/>
    <s v="L1M"/>
    <x v="2"/>
    <n v="35"/>
    <n v="35"/>
    <n v="35"/>
    <n v="1"/>
    <n v="1"/>
  </r>
  <r>
    <s v="T4"/>
    <s v="L2"/>
    <x v="2"/>
    <n v="117"/>
    <n v="63"/>
    <n v="65.666666666666671"/>
    <n v="0.53846153846153844"/>
    <n v="0.56125356125356129"/>
  </r>
  <r>
    <s v="T3"/>
    <s v="L1"/>
    <x v="0"/>
    <n v="14"/>
    <n v="14"/>
    <n v="14"/>
    <n v="1"/>
    <n v="1"/>
  </r>
  <r>
    <s v="T3"/>
    <s v="L1"/>
    <x v="3"/>
    <n v="10"/>
    <n v="10"/>
    <n v="10"/>
    <n v="1"/>
    <n v="1"/>
  </r>
  <r>
    <s v="T3"/>
    <s v="L3"/>
    <x v="3"/>
    <n v="53"/>
    <n v="53.666666666666664"/>
    <n v="61.666666666666664"/>
    <n v="1.0125786163522013"/>
    <n v="1.16352201257861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974D8-18DA-4688-B503-BB5F343683A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item="0" hier="-1"/>
  </pageFields>
  <dataFields count="1">
    <dataField name="Count of Column_ID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9E635-A15F-497F-8268-A825B825397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7" firstHeaderRow="0" firstDataRow="1" firstDataCol="1" rowPageCount="2" colPageCount="1"/>
  <pivotFields count="13">
    <pivotField showAll="0"/>
    <pivotField axis="axisPage" showAll="0">
      <items count="3">
        <item x="0"/>
        <item x="1"/>
        <item t="default"/>
      </items>
    </pivotField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dataField="1" showAll="0"/>
    <pivotField dataField="1" showAll="0"/>
    <pivotField axis="axisPage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</pivotFields>
  <rowFields count="2">
    <field x="2"/>
    <field x="4"/>
  </rowFields>
  <rowItems count="3">
    <i>
      <x v="3"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item="0" hier="-1"/>
    <pageField fld="9" item="0" hier="-1"/>
  </pageFields>
  <dataFields count="6">
    <dataField name="Sum of fwk_pc13" fld="6" baseField="0" baseItem="0"/>
    <dataField name="Sum of rebar_pc13" fld="7" baseField="0" baseItem="0"/>
    <dataField name="Sum of concrete_pc13" fld="8" baseField="0" baseItem="0"/>
    <dataField name="Sum of fwk_pc14" fld="10" baseField="0" baseItem="0"/>
    <dataField name="Sum of rebar_pc14" fld="11" baseField="0" baseItem="0"/>
    <dataField name="Sum of concrete_pc14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464D4-EE16-48AD-A052-BE03B8A50C80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8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dataField="1" numFmtId="43" showAll="0"/>
    <pivotField dataField="1" numFmtId="43" showAll="0"/>
    <pivotField numFmtId="43" showAll="0"/>
    <pivotField numFmtId="43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lumn_nos" fld="3" baseField="0" baseItem="0"/>
    <dataField name="Sum of Progress_PC13" fld="4" baseField="0" baseItem="0" numFmtId="43"/>
    <dataField name="Sum of Progress_PC14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854C3-B669-46BF-8F18-4ACE808465FB}" name="Table1" displayName="Table1" ref="A1:M570" totalsRowShown="0">
  <autoFilter ref="A1:M570" xr:uid="{8F6854C3-B669-46BF-8F18-4ACE808465FB}"/>
  <tableColumns count="13">
    <tableColumn id="1" xr3:uid="{0D444F08-CDB1-43CD-A6D9-85B93BCCEE62}" name="Full_ID"/>
    <tableColumn id="2" xr3:uid="{76A8545F-7993-425E-B361-B88AB931C220}" name="Tower"/>
    <tableColumn id="3" xr3:uid="{DF324762-1701-4B55-8F87-A761F3891B53}" name="Level"/>
    <tableColumn id="4" xr3:uid="{56597FE4-DCB8-414B-B2FC-EC7F9A324D90}" name="Zone"/>
    <tableColumn id="5" xr3:uid="{B700E475-E826-49E2-8636-7AD5C7A59796}" name="SOW"/>
    <tableColumn id="6" xr3:uid="{438D67DF-061F-4A87-9C4C-78B9880B8B7F}" name="Column_ID"/>
    <tableColumn id="7" xr3:uid="{4A5B5C0D-6F01-4A80-A0FE-295230A5338D}" name="fwk_pc13" dataDxfId="7"/>
    <tableColumn id="8" xr3:uid="{980ADD27-B81B-4170-8852-0A6364C50611}" name="rebar_pc13" dataDxfId="6"/>
    <tableColumn id="9" xr3:uid="{3F40DF1D-CF37-47AD-811F-519BB66BA110}" name="concrete_pc13" dataDxfId="5"/>
    <tableColumn id="10" xr3:uid="{C0589A38-AC3E-46FC-83B9-2F063B277E4E}" name="Category"/>
    <tableColumn id="11" xr3:uid="{3F3FE9DC-3AA5-4453-AF73-7F77AED0BB8F}" name="fwk_pc14" dataDxfId="4"/>
    <tableColumn id="12" xr3:uid="{D15CEE69-19F2-47FD-8BED-355864E3BFAB}" name="rebar_pc14" dataDxfId="3"/>
    <tableColumn id="13" xr3:uid="{CD732F6F-08B5-4086-A9B5-C117124908A0}" name="concrete_pc14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3C4F72-48E5-4771-8D7D-10D9DEBE1A01}" name="Table3" displayName="Table3" ref="A1:F5" totalsRowShown="0">
  <autoFilter ref="A1:F5" xr:uid="{F03C4F72-48E5-4771-8D7D-10D9DEBE1A01}"/>
  <tableColumns count="6">
    <tableColumn id="1" xr3:uid="{836E3639-F45F-422A-8E44-59A848D052DE}" name="SOW"/>
    <tableColumn id="2" xr3:uid="{B7AA8883-6F51-431F-B189-2AA5C1F3E04B}" name="Column_nos"/>
    <tableColumn id="3" xr3:uid="{E46A7971-F2A2-40A7-A8A3-F65A1E8B6504}" name="Progress_PC13"/>
    <tableColumn id="4" xr3:uid="{564A7F5C-3382-4C25-9830-7EC4C582AE29}" name="Progress_PC14"/>
    <tableColumn id="5" xr3:uid="{07FC2CDA-DB93-4A7C-855A-3DBE6F0EE8A1}" name="%_progress_PC13" dataDxfId="1" dataCellStyle="Comma">
      <calculatedColumnFormula>C2/B2*100</calculatedColumnFormula>
    </tableColumn>
    <tableColumn id="6" xr3:uid="{738D707F-6300-4CD2-8A58-F6EB1F48F07E}" name="%_progress_PC14" dataDxfId="0" dataCellStyle="Comma">
      <calculatedColumnFormula>D2/B2*100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B3E5-2AE6-4994-92D7-A5368E9F5A81}">
  <dimension ref="A1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1" spans="1:2" x14ac:dyDescent="0.3">
      <c r="A1" s="2" t="s">
        <v>9</v>
      </c>
      <c r="B1" t="s">
        <v>44</v>
      </c>
    </row>
    <row r="3" spans="1:2" x14ac:dyDescent="0.3">
      <c r="A3" s="2" t="s">
        <v>661</v>
      </c>
      <c r="B3" t="s">
        <v>676</v>
      </c>
    </row>
    <row r="4" spans="1:2" x14ac:dyDescent="0.3">
      <c r="A4" s="3">
        <v>2</v>
      </c>
      <c r="B4" s="6">
        <v>68</v>
      </c>
    </row>
    <row r="5" spans="1:2" x14ac:dyDescent="0.3">
      <c r="A5" s="3">
        <v>4</v>
      </c>
      <c r="B5" s="6">
        <v>53</v>
      </c>
    </row>
    <row r="6" spans="1:2" x14ac:dyDescent="0.3">
      <c r="A6" s="3">
        <v>5</v>
      </c>
      <c r="B6" s="6">
        <v>24</v>
      </c>
    </row>
    <row r="7" spans="1:2" x14ac:dyDescent="0.3">
      <c r="A7" s="3">
        <v>6</v>
      </c>
      <c r="B7" s="6">
        <v>152</v>
      </c>
    </row>
    <row r="8" spans="1:2" x14ac:dyDescent="0.3">
      <c r="A8" s="3" t="s">
        <v>662</v>
      </c>
      <c r="B8" s="6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0F55-806B-4D7C-B385-3E36E3A367D9}">
  <dimension ref="A1:M570"/>
  <sheetViews>
    <sheetView topLeftCell="A2" workbookViewId="0">
      <selection activeCell="D175" sqref="D175"/>
    </sheetView>
  </sheetViews>
  <sheetFormatPr defaultRowHeight="14.4" x14ac:dyDescent="0.3"/>
  <cols>
    <col min="6" max="6" width="12.21875" customWidth="1"/>
    <col min="7" max="7" width="11" customWidth="1"/>
    <col min="8" max="8" width="12.33203125" customWidth="1"/>
    <col min="9" max="9" width="15.21875" customWidth="1"/>
    <col min="10" max="10" width="10.44140625" customWidth="1"/>
    <col min="11" max="11" width="11" customWidth="1"/>
    <col min="12" max="12" width="12.33203125" customWidth="1"/>
    <col min="13" max="13" width="15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4</v>
      </c>
      <c r="F2" t="s">
        <v>17</v>
      </c>
      <c r="G2" s="1">
        <v>0</v>
      </c>
      <c r="H2" s="1">
        <v>0</v>
      </c>
      <c r="I2" s="1">
        <v>0</v>
      </c>
      <c r="J2" t="s">
        <v>18</v>
      </c>
      <c r="K2" s="1">
        <v>1</v>
      </c>
      <c r="L2" s="1">
        <v>1</v>
      </c>
      <c r="M2" s="1">
        <v>1</v>
      </c>
    </row>
    <row r="3" spans="1:13" x14ac:dyDescent="0.3">
      <c r="A3" t="s">
        <v>19</v>
      </c>
      <c r="B3" t="s">
        <v>14</v>
      </c>
      <c r="C3" t="s">
        <v>15</v>
      </c>
      <c r="D3" t="s">
        <v>16</v>
      </c>
      <c r="E3">
        <v>4</v>
      </c>
      <c r="F3" t="s">
        <v>20</v>
      </c>
      <c r="G3" s="1">
        <v>0</v>
      </c>
      <c r="H3" s="1">
        <v>0</v>
      </c>
      <c r="I3" s="1">
        <v>0</v>
      </c>
      <c r="J3" t="s">
        <v>18</v>
      </c>
      <c r="K3" s="1">
        <v>1</v>
      </c>
      <c r="L3" s="1">
        <v>1</v>
      </c>
      <c r="M3" s="1">
        <v>1</v>
      </c>
    </row>
    <row r="4" spans="1:13" x14ac:dyDescent="0.3">
      <c r="A4" t="s">
        <v>21</v>
      </c>
      <c r="B4" t="s">
        <v>14</v>
      </c>
      <c r="C4" t="s">
        <v>15</v>
      </c>
      <c r="D4" t="s">
        <v>16</v>
      </c>
      <c r="E4">
        <v>4</v>
      </c>
      <c r="F4" t="s">
        <v>22</v>
      </c>
      <c r="G4" s="1">
        <v>0</v>
      </c>
      <c r="H4" s="1">
        <v>0</v>
      </c>
      <c r="I4" s="1">
        <v>0</v>
      </c>
      <c r="J4" t="s">
        <v>18</v>
      </c>
      <c r="K4" s="1">
        <v>1</v>
      </c>
      <c r="L4" s="1">
        <v>1</v>
      </c>
      <c r="M4" s="1">
        <v>1</v>
      </c>
    </row>
    <row r="5" spans="1:13" x14ac:dyDescent="0.3">
      <c r="A5" t="s">
        <v>23</v>
      </c>
      <c r="B5" t="s">
        <v>14</v>
      </c>
      <c r="C5" t="s">
        <v>15</v>
      </c>
      <c r="D5" t="s">
        <v>16</v>
      </c>
      <c r="E5">
        <v>4</v>
      </c>
      <c r="F5" t="s">
        <v>24</v>
      </c>
      <c r="G5" s="1">
        <v>0</v>
      </c>
      <c r="H5" s="1">
        <v>0</v>
      </c>
      <c r="I5" s="1">
        <v>0</v>
      </c>
      <c r="J5" t="s">
        <v>18</v>
      </c>
      <c r="K5" s="1">
        <v>1</v>
      </c>
      <c r="L5" s="1">
        <v>1</v>
      </c>
      <c r="M5" s="1">
        <v>1</v>
      </c>
    </row>
    <row r="6" spans="1:13" x14ac:dyDescent="0.3">
      <c r="A6" t="s">
        <v>25</v>
      </c>
      <c r="B6" t="s">
        <v>14</v>
      </c>
      <c r="C6" t="s">
        <v>15</v>
      </c>
      <c r="D6" t="s">
        <v>16</v>
      </c>
      <c r="E6">
        <v>4</v>
      </c>
      <c r="F6" t="s">
        <v>26</v>
      </c>
      <c r="G6" s="1">
        <v>0</v>
      </c>
      <c r="H6" s="1">
        <v>0</v>
      </c>
      <c r="I6" s="1">
        <v>0</v>
      </c>
      <c r="J6" t="s">
        <v>18</v>
      </c>
      <c r="K6" s="1">
        <v>1</v>
      </c>
      <c r="L6" s="1">
        <v>1</v>
      </c>
      <c r="M6" s="1">
        <v>1</v>
      </c>
    </row>
    <row r="7" spans="1:13" x14ac:dyDescent="0.3">
      <c r="A7" t="s">
        <v>27</v>
      </c>
      <c r="B7" t="s">
        <v>14</v>
      </c>
      <c r="C7" t="s">
        <v>15</v>
      </c>
      <c r="D7" t="s">
        <v>16</v>
      </c>
      <c r="E7">
        <v>4</v>
      </c>
      <c r="F7" t="s">
        <v>28</v>
      </c>
      <c r="G7" s="1">
        <v>0</v>
      </c>
      <c r="H7" s="1">
        <v>0</v>
      </c>
      <c r="I7" s="1">
        <v>0</v>
      </c>
      <c r="J7" t="s">
        <v>18</v>
      </c>
      <c r="K7" s="1">
        <v>1</v>
      </c>
      <c r="L7" s="1">
        <v>1</v>
      </c>
      <c r="M7" s="1">
        <v>1</v>
      </c>
    </row>
    <row r="8" spans="1:13" x14ac:dyDescent="0.3">
      <c r="A8" t="s">
        <v>29</v>
      </c>
      <c r="B8" t="s">
        <v>14</v>
      </c>
      <c r="C8" t="s">
        <v>15</v>
      </c>
      <c r="D8" t="s">
        <v>16</v>
      </c>
      <c r="E8">
        <v>4</v>
      </c>
      <c r="F8" t="s">
        <v>30</v>
      </c>
      <c r="G8" s="1">
        <v>0</v>
      </c>
      <c r="H8" s="1">
        <v>0</v>
      </c>
      <c r="I8" s="1">
        <v>0</v>
      </c>
      <c r="J8" t="s">
        <v>18</v>
      </c>
      <c r="K8" s="1">
        <v>1</v>
      </c>
      <c r="L8" s="1">
        <v>1</v>
      </c>
      <c r="M8" s="1">
        <v>1</v>
      </c>
    </row>
    <row r="9" spans="1:13" x14ac:dyDescent="0.3">
      <c r="A9" t="s">
        <v>31</v>
      </c>
      <c r="B9" t="s">
        <v>14</v>
      </c>
      <c r="C9" t="s">
        <v>15</v>
      </c>
      <c r="D9" t="s">
        <v>16</v>
      </c>
      <c r="E9">
        <v>4</v>
      </c>
      <c r="F9" t="s">
        <v>32</v>
      </c>
      <c r="G9" s="1">
        <v>0</v>
      </c>
      <c r="H9" s="1">
        <v>0</v>
      </c>
      <c r="I9" s="1">
        <v>0</v>
      </c>
      <c r="J9" t="s">
        <v>18</v>
      </c>
      <c r="K9" s="1">
        <v>1</v>
      </c>
      <c r="L9" s="1">
        <v>1</v>
      </c>
      <c r="M9" s="1">
        <v>1</v>
      </c>
    </row>
    <row r="10" spans="1:13" x14ac:dyDescent="0.3">
      <c r="A10" t="s">
        <v>33</v>
      </c>
      <c r="B10" t="s">
        <v>14</v>
      </c>
      <c r="C10" t="s">
        <v>15</v>
      </c>
      <c r="D10" t="s">
        <v>16</v>
      </c>
      <c r="E10">
        <v>4</v>
      </c>
      <c r="F10" t="s">
        <v>34</v>
      </c>
      <c r="G10" s="1">
        <v>0</v>
      </c>
      <c r="H10" s="1">
        <v>0</v>
      </c>
      <c r="I10" s="1">
        <v>0</v>
      </c>
      <c r="J10" t="s">
        <v>18</v>
      </c>
      <c r="K10" s="1">
        <v>1</v>
      </c>
      <c r="L10" s="1">
        <v>1</v>
      </c>
      <c r="M10" s="1">
        <v>1</v>
      </c>
    </row>
    <row r="11" spans="1:13" x14ac:dyDescent="0.3">
      <c r="A11" t="s">
        <v>35</v>
      </c>
      <c r="B11" t="s">
        <v>14</v>
      </c>
      <c r="C11" t="s">
        <v>15</v>
      </c>
      <c r="D11" t="s">
        <v>16</v>
      </c>
      <c r="E11">
        <v>4</v>
      </c>
      <c r="F11" t="s">
        <v>36</v>
      </c>
      <c r="G11" s="1">
        <v>0</v>
      </c>
      <c r="H11" s="1">
        <v>0</v>
      </c>
      <c r="I11" s="1">
        <v>0</v>
      </c>
      <c r="J11" t="s">
        <v>18</v>
      </c>
      <c r="K11" s="1">
        <v>1</v>
      </c>
      <c r="L11" s="1">
        <v>1</v>
      </c>
      <c r="M11" s="1">
        <v>1</v>
      </c>
    </row>
    <row r="12" spans="1:13" x14ac:dyDescent="0.3">
      <c r="A12" t="s">
        <v>37</v>
      </c>
      <c r="B12" t="s">
        <v>14</v>
      </c>
      <c r="C12" t="s">
        <v>15</v>
      </c>
      <c r="D12" t="s">
        <v>16</v>
      </c>
      <c r="E12">
        <v>4</v>
      </c>
      <c r="F12" t="s">
        <v>38</v>
      </c>
      <c r="G12" s="1">
        <v>0</v>
      </c>
      <c r="H12" s="1">
        <v>0</v>
      </c>
      <c r="I12" s="1">
        <v>0</v>
      </c>
      <c r="J12" t="s">
        <v>18</v>
      </c>
      <c r="K12" s="1">
        <v>1</v>
      </c>
      <c r="L12" s="1">
        <v>1</v>
      </c>
      <c r="M12" s="1">
        <v>1</v>
      </c>
    </row>
    <row r="13" spans="1:13" x14ac:dyDescent="0.3">
      <c r="A13" t="s">
        <v>39</v>
      </c>
      <c r="B13" t="s">
        <v>14</v>
      </c>
      <c r="C13" t="s">
        <v>15</v>
      </c>
      <c r="D13" t="s">
        <v>16</v>
      </c>
      <c r="E13">
        <v>4</v>
      </c>
      <c r="F13" t="s">
        <v>40</v>
      </c>
      <c r="G13" s="1">
        <v>0</v>
      </c>
      <c r="H13" s="1">
        <v>0</v>
      </c>
      <c r="I13" s="1">
        <v>0</v>
      </c>
      <c r="J13" t="s">
        <v>18</v>
      </c>
      <c r="K13" s="1">
        <v>1</v>
      </c>
      <c r="L13" s="1">
        <v>1</v>
      </c>
      <c r="M13" s="1">
        <v>1</v>
      </c>
    </row>
    <row r="14" spans="1:13" x14ac:dyDescent="0.3">
      <c r="A14" t="s">
        <v>41</v>
      </c>
      <c r="B14" t="s">
        <v>14</v>
      </c>
      <c r="C14" t="s">
        <v>42</v>
      </c>
      <c r="D14" t="s">
        <v>43</v>
      </c>
      <c r="E14">
        <v>4</v>
      </c>
      <c r="F14" t="s">
        <v>17</v>
      </c>
      <c r="G14" s="1">
        <v>1</v>
      </c>
      <c r="H14" s="1">
        <v>1</v>
      </c>
      <c r="I14" s="1">
        <v>1</v>
      </c>
      <c r="J14" t="s">
        <v>44</v>
      </c>
      <c r="K14" s="1">
        <v>1</v>
      </c>
      <c r="L14" s="1">
        <v>1</v>
      </c>
      <c r="M14" s="1">
        <v>1</v>
      </c>
    </row>
    <row r="15" spans="1:13" x14ac:dyDescent="0.3">
      <c r="A15" t="s">
        <v>45</v>
      </c>
      <c r="B15" t="s">
        <v>14</v>
      </c>
      <c r="C15" t="s">
        <v>42</v>
      </c>
      <c r="D15" t="s">
        <v>43</v>
      </c>
      <c r="E15">
        <v>4</v>
      </c>
      <c r="F15" t="s">
        <v>20</v>
      </c>
      <c r="G15" s="1">
        <v>1</v>
      </c>
      <c r="H15" s="1">
        <v>1</v>
      </c>
      <c r="I15" s="1">
        <v>1</v>
      </c>
      <c r="J15" t="s">
        <v>44</v>
      </c>
      <c r="K15" s="1">
        <v>1</v>
      </c>
      <c r="L15" s="1">
        <v>1</v>
      </c>
      <c r="M15" s="1">
        <v>1</v>
      </c>
    </row>
    <row r="16" spans="1:13" x14ac:dyDescent="0.3">
      <c r="A16" t="s">
        <v>46</v>
      </c>
      <c r="B16" t="s">
        <v>14</v>
      </c>
      <c r="C16" t="s">
        <v>42</v>
      </c>
      <c r="D16" t="s">
        <v>43</v>
      </c>
      <c r="E16">
        <v>4</v>
      </c>
      <c r="F16" t="s">
        <v>22</v>
      </c>
      <c r="G16" s="1">
        <v>1</v>
      </c>
      <c r="H16" s="1">
        <v>1</v>
      </c>
      <c r="I16" s="1">
        <v>1</v>
      </c>
      <c r="J16" t="s">
        <v>44</v>
      </c>
      <c r="K16" s="1">
        <v>1</v>
      </c>
      <c r="L16" s="1">
        <v>1</v>
      </c>
      <c r="M16" s="1">
        <v>1</v>
      </c>
    </row>
    <row r="17" spans="1:13" x14ac:dyDescent="0.3">
      <c r="A17" t="s">
        <v>47</v>
      </c>
      <c r="B17" t="s">
        <v>14</v>
      </c>
      <c r="C17" t="s">
        <v>42</v>
      </c>
      <c r="D17" t="s">
        <v>43</v>
      </c>
      <c r="E17">
        <v>4</v>
      </c>
      <c r="F17" t="s">
        <v>24</v>
      </c>
      <c r="G17" s="1">
        <v>1</v>
      </c>
      <c r="H17" s="1">
        <v>1</v>
      </c>
      <c r="I17" s="1">
        <v>1</v>
      </c>
      <c r="J17" t="s">
        <v>44</v>
      </c>
      <c r="K17" s="1">
        <v>1</v>
      </c>
      <c r="L17" s="1">
        <v>1</v>
      </c>
      <c r="M17" s="1">
        <v>1</v>
      </c>
    </row>
    <row r="18" spans="1:13" x14ac:dyDescent="0.3">
      <c r="A18" t="s">
        <v>48</v>
      </c>
      <c r="B18" t="s">
        <v>14</v>
      </c>
      <c r="C18" t="s">
        <v>42</v>
      </c>
      <c r="D18" t="s">
        <v>43</v>
      </c>
      <c r="E18">
        <v>4</v>
      </c>
      <c r="F18" t="s">
        <v>26</v>
      </c>
      <c r="G18" s="1">
        <v>1</v>
      </c>
      <c r="H18" s="1">
        <v>1</v>
      </c>
      <c r="I18" s="1">
        <v>1</v>
      </c>
      <c r="J18" t="s">
        <v>44</v>
      </c>
      <c r="K18" s="1">
        <v>1</v>
      </c>
      <c r="L18" s="1">
        <v>1</v>
      </c>
      <c r="M18" s="1">
        <v>1</v>
      </c>
    </row>
    <row r="19" spans="1:13" x14ac:dyDescent="0.3">
      <c r="A19" t="s">
        <v>49</v>
      </c>
      <c r="B19" t="s">
        <v>14</v>
      </c>
      <c r="C19" t="s">
        <v>42</v>
      </c>
      <c r="D19" t="s">
        <v>43</v>
      </c>
      <c r="E19">
        <v>4</v>
      </c>
      <c r="F19" t="s">
        <v>28</v>
      </c>
      <c r="G19" s="1">
        <v>1</v>
      </c>
      <c r="H19" s="1">
        <v>1</v>
      </c>
      <c r="I19" s="1">
        <v>1</v>
      </c>
      <c r="J19" t="s">
        <v>44</v>
      </c>
      <c r="K19" s="1">
        <v>1</v>
      </c>
      <c r="L19" s="1">
        <v>1</v>
      </c>
      <c r="M19" s="1">
        <v>1</v>
      </c>
    </row>
    <row r="20" spans="1:13" x14ac:dyDescent="0.3">
      <c r="A20" t="s">
        <v>50</v>
      </c>
      <c r="B20" t="s">
        <v>14</v>
      </c>
      <c r="C20" t="s">
        <v>42</v>
      </c>
      <c r="D20" t="s">
        <v>51</v>
      </c>
      <c r="E20">
        <v>4</v>
      </c>
      <c r="F20" t="s">
        <v>17</v>
      </c>
      <c r="G20" s="1">
        <v>1</v>
      </c>
      <c r="H20" s="1">
        <v>1</v>
      </c>
      <c r="I20" s="1">
        <v>1</v>
      </c>
      <c r="J20" t="s">
        <v>44</v>
      </c>
      <c r="K20" s="1">
        <v>1</v>
      </c>
      <c r="L20" s="1">
        <v>1</v>
      </c>
      <c r="M20" s="1">
        <v>1</v>
      </c>
    </row>
    <row r="21" spans="1:13" x14ac:dyDescent="0.3">
      <c r="A21" t="s">
        <v>52</v>
      </c>
      <c r="B21" t="s">
        <v>14</v>
      </c>
      <c r="C21" t="s">
        <v>42</v>
      </c>
      <c r="D21" t="s">
        <v>51</v>
      </c>
      <c r="E21">
        <v>4</v>
      </c>
      <c r="F21" t="s">
        <v>20</v>
      </c>
      <c r="G21" s="1">
        <v>1</v>
      </c>
      <c r="H21" s="1">
        <v>1</v>
      </c>
      <c r="I21" s="1">
        <v>1</v>
      </c>
      <c r="J21" t="s">
        <v>44</v>
      </c>
      <c r="K21" s="1">
        <v>1</v>
      </c>
      <c r="L21" s="1">
        <v>1</v>
      </c>
      <c r="M21" s="1">
        <v>1</v>
      </c>
    </row>
    <row r="22" spans="1:13" x14ac:dyDescent="0.3">
      <c r="A22" t="s">
        <v>53</v>
      </c>
      <c r="B22" t="s">
        <v>14</v>
      </c>
      <c r="C22" t="s">
        <v>42</v>
      </c>
      <c r="D22" t="s">
        <v>51</v>
      </c>
      <c r="E22">
        <v>4</v>
      </c>
      <c r="F22" t="s">
        <v>22</v>
      </c>
      <c r="G22" s="1">
        <v>1</v>
      </c>
      <c r="H22" s="1">
        <v>1</v>
      </c>
      <c r="I22" s="1">
        <v>1</v>
      </c>
      <c r="J22" t="s">
        <v>44</v>
      </c>
      <c r="K22" s="1">
        <v>1</v>
      </c>
      <c r="L22" s="1">
        <v>1</v>
      </c>
      <c r="M22" s="1">
        <v>1</v>
      </c>
    </row>
    <row r="23" spans="1:13" x14ac:dyDescent="0.3">
      <c r="A23" t="s">
        <v>54</v>
      </c>
      <c r="B23" t="s">
        <v>14</v>
      </c>
      <c r="C23" t="s">
        <v>42</v>
      </c>
      <c r="D23" t="s">
        <v>51</v>
      </c>
      <c r="E23">
        <v>4</v>
      </c>
      <c r="F23" t="s">
        <v>24</v>
      </c>
      <c r="G23" s="1">
        <v>1</v>
      </c>
      <c r="H23" s="1">
        <v>1</v>
      </c>
      <c r="I23" s="1">
        <v>1</v>
      </c>
      <c r="J23" t="s">
        <v>44</v>
      </c>
      <c r="K23" s="1">
        <v>1</v>
      </c>
      <c r="L23" s="1">
        <v>1</v>
      </c>
      <c r="M23" s="1">
        <v>1</v>
      </c>
    </row>
    <row r="24" spans="1:13" x14ac:dyDescent="0.3">
      <c r="A24" t="s">
        <v>55</v>
      </c>
      <c r="B24" t="s">
        <v>14</v>
      </c>
      <c r="C24" t="s">
        <v>42</v>
      </c>
      <c r="D24" t="s">
        <v>51</v>
      </c>
      <c r="E24">
        <v>4</v>
      </c>
      <c r="F24" t="s">
        <v>26</v>
      </c>
      <c r="G24" s="1">
        <v>1</v>
      </c>
      <c r="H24" s="1">
        <v>1</v>
      </c>
      <c r="I24" s="1">
        <v>1</v>
      </c>
      <c r="J24" t="s">
        <v>44</v>
      </c>
      <c r="K24" s="1">
        <v>1</v>
      </c>
      <c r="L24" s="1">
        <v>1</v>
      </c>
      <c r="M24" s="1">
        <v>1</v>
      </c>
    </row>
    <row r="25" spans="1:13" x14ac:dyDescent="0.3">
      <c r="A25" t="s">
        <v>56</v>
      </c>
      <c r="B25" t="s">
        <v>14</v>
      </c>
      <c r="C25" t="s">
        <v>42</v>
      </c>
      <c r="D25" t="s">
        <v>51</v>
      </c>
      <c r="E25">
        <v>4</v>
      </c>
      <c r="F25" t="s">
        <v>28</v>
      </c>
      <c r="G25" s="1">
        <v>1</v>
      </c>
      <c r="H25" s="1">
        <v>1</v>
      </c>
      <c r="I25" s="1">
        <v>1</v>
      </c>
      <c r="J25" t="s">
        <v>44</v>
      </c>
      <c r="K25" s="1">
        <v>1</v>
      </c>
      <c r="L25" s="1">
        <v>1</v>
      </c>
      <c r="M25" s="1">
        <v>1</v>
      </c>
    </row>
    <row r="26" spans="1:13" x14ac:dyDescent="0.3">
      <c r="A26" t="s">
        <v>57</v>
      </c>
      <c r="B26" t="s">
        <v>14</v>
      </c>
      <c r="C26" t="s">
        <v>42</v>
      </c>
      <c r="D26" t="s">
        <v>51</v>
      </c>
      <c r="E26">
        <v>4</v>
      </c>
      <c r="F26" t="s">
        <v>30</v>
      </c>
      <c r="G26" s="1">
        <v>1</v>
      </c>
      <c r="H26" s="1">
        <v>1</v>
      </c>
      <c r="I26" s="1">
        <v>1</v>
      </c>
      <c r="J26" t="s">
        <v>44</v>
      </c>
      <c r="K26" s="1">
        <v>1</v>
      </c>
      <c r="L26" s="1">
        <v>1</v>
      </c>
      <c r="M26" s="1">
        <v>1</v>
      </c>
    </row>
    <row r="27" spans="1:13" x14ac:dyDescent="0.3">
      <c r="A27" t="s">
        <v>58</v>
      </c>
      <c r="B27" t="s">
        <v>14</v>
      </c>
      <c r="C27" t="s">
        <v>42</v>
      </c>
      <c r="D27" t="s">
        <v>51</v>
      </c>
      <c r="E27">
        <v>4</v>
      </c>
      <c r="F27" t="s">
        <v>32</v>
      </c>
      <c r="G27" s="1">
        <v>1</v>
      </c>
      <c r="H27" s="1">
        <v>1</v>
      </c>
      <c r="I27" s="1">
        <v>1</v>
      </c>
      <c r="J27" t="s">
        <v>44</v>
      </c>
      <c r="K27" s="1">
        <v>1</v>
      </c>
      <c r="L27" s="1">
        <v>1</v>
      </c>
      <c r="M27" s="1">
        <v>1</v>
      </c>
    </row>
    <row r="28" spans="1:13" x14ac:dyDescent="0.3">
      <c r="A28" t="s">
        <v>59</v>
      </c>
      <c r="B28" t="s">
        <v>14</v>
      </c>
      <c r="C28" t="s">
        <v>42</v>
      </c>
      <c r="D28" t="s">
        <v>51</v>
      </c>
      <c r="E28">
        <v>4</v>
      </c>
      <c r="F28" t="s">
        <v>34</v>
      </c>
      <c r="G28" s="1">
        <v>1</v>
      </c>
      <c r="H28" s="1">
        <v>1</v>
      </c>
      <c r="I28" s="1">
        <v>1</v>
      </c>
      <c r="J28" t="s">
        <v>44</v>
      </c>
      <c r="K28" s="1">
        <v>1</v>
      </c>
      <c r="L28" s="1">
        <v>1</v>
      </c>
      <c r="M28" s="1">
        <v>1</v>
      </c>
    </row>
    <row r="29" spans="1:13" x14ac:dyDescent="0.3">
      <c r="A29" t="s">
        <v>60</v>
      </c>
      <c r="B29" t="s">
        <v>14</v>
      </c>
      <c r="C29" t="s">
        <v>42</v>
      </c>
      <c r="D29" t="s">
        <v>51</v>
      </c>
      <c r="E29">
        <v>4</v>
      </c>
      <c r="F29" t="s">
        <v>36</v>
      </c>
      <c r="G29" s="1">
        <v>1</v>
      </c>
      <c r="H29" s="1">
        <v>1</v>
      </c>
      <c r="I29" s="1">
        <v>1</v>
      </c>
      <c r="J29" t="s">
        <v>44</v>
      </c>
      <c r="K29" s="1">
        <v>1</v>
      </c>
      <c r="L29" s="1">
        <v>1</v>
      </c>
      <c r="M29" s="1">
        <v>1</v>
      </c>
    </row>
    <row r="30" spans="1:13" x14ac:dyDescent="0.3">
      <c r="A30" t="s">
        <v>61</v>
      </c>
      <c r="B30" t="s">
        <v>14</v>
      </c>
      <c r="C30" t="s">
        <v>42</v>
      </c>
      <c r="D30" t="s">
        <v>51</v>
      </c>
      <c r="E30">
        <v>4</v>
      </c>
      <c r="F30" t="s">
        <v>38</v>
      </c>
      <c r="G30" s="1">
        <v>1</v>
      </c>
      <c r="H30" s="1">
        <v>1</v>
      </c>
      <c r="I30" s="1">
        <v>1</v>
      </c>
      <c r="J30" t="s">
        <v>44</v>
      </c>
      <c r="K30" s="1">
        <v>1</v>
      </c>
      <c r="L30" s="1">
        <v>1</v>
      </c>
      <c r="M30" s="1">
        <v>1</v>
      </c>
    </row>
    <row r="31" spans="1:13" x14ac:dyDescent="0.3">
      <c r="A31" t="s">
        <v>62</v>
      </c>
      <c r="B31" t="s">
        <v>14</v>
      </c>
      <c r="C31" t="s">
        <v>42</v>
      </c>
      <c r="D31" t="s">
        <v>51</v>
      </c>
      <c r="E31">
        <v>4</v>
      </c>
      <c r="F31" t="s">
        <v>40</v>
      </c>
      <c r="G31" s="1">
        <v>1</v>
      </c>
      <c r="H31" s="1">
        <v>1</v>
      </c>
      <c r="I31" s="1">
        <v>1</v>
      </c>
      <c r="J31" t="s">
        <v>44</v>
      </c>
      <c r="K31" s="1">
        <v>1</v>
      </c>
      <c r="L31" s="1">
        <v>1</v>
      </c>
      <c r="M31" s="1">
        <v>1</v>
      </c>
    </row>
    <row r="32" spans="1:13" x14ac:dyDescent="0.3">
      <c r="A32" t="s">
        <v>63</v>
      </c>
      <c r="B32" t="s">
        <v>14</v>
      </c>
      <c r="C32" t="s">
        <v>42</v>
      </c>
      <c r="D32" t="s">
        <v>51</v>
      </c>
      <c r="E32">
        <v>4</v>
      </c>
      <c r="F32" t="s">
        <v>64</v>
      </c>
      <c r="G32" s="1">
        <v>1</v>
      </c>
      <c r="H32" s="1">
        <v>1</v>
      </c>
      <c r="I32" s="1">
        <v>1</v>
      </c>
      <c r="J32" t="s">
        <v>44</v>
      </c>
      <c r="K32" s="1">
        <v>1</v>
      </c>
      <c r="L32" s="1">
        <v>1</v>
      </c>
      <c r="M32" s="1">
        <v>1</v>
      </c>
    </row>
    <row r="33" spans="1:13" x14ac:dyDescent="0.3">
      <c r="A33" t="s">
        <v>65</v>
      </c>
      <c r="B33" t="s">
        <v>14</v>
      </c>
      <c r="C33" t="s">
        <v>42</v>
      </c>
      <c r="D33" t="s">
        <v>51</v>
      </c>
      <c r="E33">
        <v>4</v>
      </c>
      <c r="F33" t="s">
        <v>66</v>
      </c>
      <c r="G33" s="1">
        <v>1</v>
      </c>
      <c r="H33" s="1">
        <v>1</v>
      </c>
      <c r="I33" s="1">
        <v>1</v>
      </c>
      <c r="J33" t="s">
        <v>44</v>
      </c>
      <c r="K33" s="1">
        <v>1</v>
      </c>
      <c r="L33" s="1">
        <v>1</v>
      </c>
      <c r="M33" s="1">
        <v>1</v>
      </c>
    </row>
    <row r="34" spans="1:13" x14ac:dyDescent="0.3">
      <c r="A34" t="s">
        <v>67</v>
      </c>
      <c r="B34" t="s">
        <v>14</v>
      </c>
      <c r="C34" t="s">
        <v>42</v>
      </c>
      <c r="D34" t="s">
        <v>51</v>
      </c>
      <c r="E34">
        <v>4</v>
      </c>
      <c r="F34" t="s">
        <v>68</v>
      </c>
      <c r="G34" s="1">
        <v>1</v>
      </c>
      <c r="H34" s="1">
        <v>1</v>
      </c>
      <c r="I34" s="1">
        <v>1</v>
      </c>
      <c r="J34" t="s">
        <v>44</v>
      </c>
      <c r="K34" s="1">
        <v>1</v>
      </c>
      <c r="L34" s="1">
        <v>1</v>
      </c>
      <c r="M34" s="1">
        <v>1</v>
      </c>
    </row>
    <row r="35" spans="1:13" x14ac:dyDescent="0.3">
      <c r="A35" t="s">
        <v>69</v>
      </c>
      <c r="B35" t="s">
        <v>14</v>
      </c>
      <c r="C35" t="s">
        <v>42</v>
      </c>
      <c r="D35" t="s">
        <v>51</v>
      </c>
      <c r="E35">
        <v>4</v>
      </c>
      <c r="F35" t="s">
        <v>70</v>
      </c>
      <c r="G35" s="1">
        <v>1</v>
      </c>
      <c r="H35" s="1">
        <v>1</v>
      </c>
      <c r="I35" s="1">
        <v>1</v>
      </c>
      <c r="J35" t="s">
        <v>44</v>
      </c>
      <c r="K35" s="1">
        <v>1</v>
      </c>
      <c r="L35" s="1">
        <v>1</v>
      </c>
      <c r="M35" s="1">
        <v>1</v>
      </c>
    </row>
    <row r="36" spans="1:13" x14ac:dyDescent="0.3">
      <c r="A36" t="s">
        <v>71</v>
      </c>
      <c r="B36" t="s">
        <v>14</v>
      </c>
      <c r="C36" t="s">
        <v>42</v>
      </c>
      <c r="D36" t="s">
        <v>51</v>
      </c>
      <c r="E36">
        <v>4</v>
      </c>
      <c r="F36" t="s">
        <v>72</v>
      </c>
      <c r="G36" s="1">
        <v>1</v>
      </c>
      <c r="H36" s="1">
        <v>1</v>
      </c>
      <c r="I36" s="1">
        <v>1</v>
      </c>
      <c r="J36" t="s">
        <v>44</v>
      </c>
      <c r="K36" s="1">
        <v>1</v>
      </c>
      <c r="L36" s="1">
        <v>1</v>
      </c>
      <c r="M36" s="1">
        <v>1</v>
      </c>
    </row>
    <row r="37" spans="1:13" x14ac:dyDescent="0.3">
      <c r="A37" t="s">
        <v>73</v>
      </c>
      <c r="B37" t="s">
        <v>14</v>
      </c>
      <c r="C37" t="s">
        <v>42</v>
      </c>
      <c r="D37" t="s">
        <v>51</v>
      </c>
      <c r="E37">
        <v>4</v>
      </c>
      <c r="F37" t="s">
        <v>74</v>
      </c>
      <c r="G37" s="1">
        <v>1</v>
      </c>
      <c r="H37" s="1">
        <v>1</v>
      </c>
      <c r="I37" s="1">
        <v>1</v>
      </c>
      <c r="J37" t="s">
        <v>44</v>
      </c>
      <c r="K37" s="1">
        <v>1</v>
      </c>
      <c r="L37" s="1">
        <v>1</v>
      </c>
      <c r="M37" s="1">
        <v>1</v>
      </c>
    </row>
    <row r="38" spans="1:13" x14ac:dyDescent="0.3">
      <c r="A38" t="s">
        <v>75</v>
      </c>
      <c r="B38" t="s">
        <v>14</v>
      </c>
      <c r="C38" t="s">
        <v>42</v>
      </c>
      <c r="D38" t="s">
        <v>51</v>
      </c>
      <c r="E38">
        <v>4</v>
      </c>
      <c r="F38" t="s">
        <v>76</v>
      </c>
      <c r="G38" s="1">
        <v>1</v>
      </c>
      <c r="H38" s="1">
        <v>1</v>
      </c>
      <c r="I38" s="1">
        <v>1</v>
      </c>
      <c r="J38" t="s">
        <v>44</v>
      </c>
      <c r="K38" s="1">
        <v>1</v>
      </c>
      <c r="L38" s="1">
        <v>1</v>
      </c>
      <c r="M38" s="1">
        <v>1</v>
      </c>
    </row>
    <row r="39" spans="1:13" x14ac:dyDescent="0.3">
      <c r="A39" t="s">
        <v>77</v>
      </c>
      <c r="B39" t="s">
        <v>14</v>
      </c>
      <c r="C39" t="s">
        <v>42</v>
      </c>
      <c r="D39" t="s">
        <v>51</v>
      </c>
      <c r="E39">
        <v>4</v>
      </c>
      <c r="F39" t="s">
        <v>78</v>
      </c>
      <c r="G39" s="1">
        <v>1</v>
      </c>
      <c r="H39" s="1">
        <v>1</v>
      </c>
      <c r="I39" s="1">
        <v>1</v>
      </c>
      <c r="J39" t="s">
        <v>44</v>
      </c>
      <c r="K39" s="1">
        <v>1</v>
      </c>
      <c r="L39" s="1">
        <v>1</v>
      </c>
      <c r="M39" s="1">
        <v>1</v>
      </c>
    </row>
    <row r="40" spans="1:13" x14ac:dyDescent="0.3">
      <c r="A40" t="s">
        <v>79</v>
      </c>
      <c r="B40" t="s">
        <v>14</v>
      </c>
      <c r="C40" t="s">
        <v>42</v>
      </c>
      <c r="D40" t="s">
        <v>51</v>
      </c>
      <c r="E40">
        <v>4</v>
      </c>
      <c r="F40" t="s">
        <v>80</v>
      </c>
      <c r="G40" s="1">
        <v>1</v>
      </c>
      <c r="H40" s="1">
        <v>1</v>
      </c>
      <c r="I40" s="1">
        <v>1</v>
      </c>
      <c r="J40" t="s">
        <v>44</v>
      </c>
      <c r="K40" s="1">
        <v>1</v>
      </c>
      <c r="L40" s="1">
        <v>1</v>
      </c>
      <c r="M40" s="1">
        <v>1</v>
      </c>
    </row>
    <row r="41" spans="1:13" x14ac:dyDescent="0.3">
      <c r="A41" t="s">
        <v>81</v>
      </c>
      <c r="B41" t="s">
        <v>14</v>
      </c>
      <c r="C41" t="s">
        <v>42</v>
      </c>
      <c r="D41" t="s">
        <v>51</v>
      </c>
      <c r="E41">
        <v>4</v>
      </c>
      <c r="F41" t="s">
        <v>82</v>
      </c>
      <c r="G41" s="1">
        <v>1</v>
      </c>
      <c r="H41" s="1">
        <v>1</v>
      </c>
      <c r="I41" s="1">
        <v>1</v>
      </c>
      <c r="J41" t="s">
        <v>44</v>
      </c>
      <c r="K41" s="1">
        <v>1</v>
      </c>
      <c r="L41" s="1">
        <v>1</v>
      </c>
      <c r="M41" s="1">
        <v>1</v>
      </c>
    </row>
    <row r="42" spans="1:13" x14ac:dyDescent="0.3">
      <c r="A42" t="s">
        <v>83</v>
      </c>
      <c r="B42" t="s">
        <v>14</v>
      </c>
      <c r="C42" t="s">
        <v>42</v>
      </c>
      <c r="D42" t="s">
        <v>51</v>
      </c>
      <c r="E42">
        <v>4</v>
      </c>
      <c r="F42" t="s">
        <v>84</v>
      </c>
      <c r="G42" s="1">
        <v>1</v>
      </c>
      <c r="H42" s="1">
        <v>1</v>
      </c>
      <c r="I42" s="1">
        <v>1</v>
      </c>
      <c r="J42" t="s">
        <v>44</v>
      </c>
      <c r="K42" s="1">
        <v>1</v>
      </c>
      <c r="L42" s="1">
        <v>1</v>
      </c>
      <c r="M42" s="1">
        <v>1</v>
      </c>
    </row>
    <row r="43" spans="1:13" x14ac:dyDescent="0.3">
      <c r="A43" t="s">
        <v>85</v>
      </c>
      <c r="B43" t="s">
        <v>14</v>
      </c>
      <c r="C43" t="s">
        <v>42</v>
      </c>
      <c r="D43" t="s">
        <v>86</v>
      </c>
      <c r="E43">
        <v>4</v>
      </c>
      <c r="F43" t="s">
        <v>17</v>
      </c>
      <c r="G43" s="1">
        <v>1</v>
      </c>
      <c r="H43" s="1">
        <v>1</v>
      </c>
      <c r="J43" t="s">
        <v>44</v>
      </c>
      <c r="K43" s="1">
        <v>1</v>
      </c>
      <c r="L43" s="1">
        <v>1</v>
      </c>
      <c r="M43" s="1">
        <v>1</v>
      </c>
    </row>
    <row r="44" spans="1:13" x14ac:dyDescent="0.3">
      <c r="A44" t="s">
        <v>87</v>
      </c>
      <c r="B44" t="s">
        <v>14</v>
      </c>
      <c r="C44" t="s">
        <v>42</v>
      </c>
      <c r="D44" t="s">
        <v>86</v>
      </c>
      <c r="E44">
        <v>4</v>
      </c>
      <c r="F44" t="s">
        <v>20</v>
      </c>
      <c r="J44" t="s">
        <v>44</v>
      </c>
      <c r="K44" s="1">
        <v>1</v>
      </c>
      <c r="L44" s="1">
        <v>1</v>
      </c>
      <c r="M44" s="1">
        <v>1</v>
      </c>
    </row>
    <row r="45" spans="1:13" x14ac:dyDescent="0.3">
      <c r="A45" t="s">
        <v>88</v>
      </c>
      <c r="B45" t="s">
        <v>14</v>
      </c>
      <c r="C45" t="s">
        <v>42</v>
      </c>
      <c r="D45" t="s">
        <v>86</v>
      </c>
      <c r="E45">
        <v>4</v>
      </c>
      <c r="F45" t="s">
        <v>22</v>
      </c>
      <c r="J45" t="s">
        <v>44</v>
      </c>
      <c r="K45" s="1">
        <v>1</v>
      </c>
      <c r="L45" s="1">
        <v>1</v>
      </c>
      <c r="M45" s="1">
        <v>1</v>
      </c>
    </row>
    <row r="46" spans="1:13" x14ac:dyDescent="0.3">
      <c r="A46" t="s">
        <v>89</v>
      </c>
      <c r="B46" t="s">
        <v>14</v>
      </c>
      <c r="C46" t="s">
        <v>42</v>
      </c>
      <c r="D46" t="s">
        <v>86</v>
      </c>
      <c r="E46">
        <v>4</v>
      </c>
      <c r="F46" t="s">
        <v>24</v>
      </c>
      <c r="J46" t="s">
        <v>44</v>
      </c>
      <c r="K46" s="1">
        <v>1</v>
      </c>
      <c r="L46" s="1">
        <v>1</v>
      </c>
      <c r="M46" s="1">
        <v>1</v>
      </c>
    </row>
    <row r="47" spans="1:13" x14ac:dyDescent="0.3">
      <c r="A47" t="s">
        <v>90</v>
      </c>
      <c r="B47" t="s">
        <v>14</v>
      </c>
      <c r="C47" t="s">
        <v>42</v>
      </c>
      <c r="D47" t="s">
        <v>86</v>
      </c>
      <c r="E47">
        <v>4</v>
      </c>
      <c r="F47" t="s">
        <v>26</v>
      </c>
      <c r="G47" s="1">
        <v>1</v>
      </c>
      <c r="H47" s="1">
        <v>1</v>
      </c>
      <c r="J47" t="s">
        <v>44</v>
      </c>
      <c r="K47" s="1">
        <v>1</v>
      </c>
      <c r="L47" s="1">
        <v>1</v>
      </c>
      <c r="M47" s="1">
        <v>1</v>
      </c>
    </row>
    <row r="48" spans="1:13" x14ac:dyDescent="0.3">
      <c r="A48" t="s">
        <v>91</v>
      </c>
      <c r="B48" t="s">
        <v>14</v>
      </c>
      <c r="C48" t="s">
        <v>42</v>
      </c>
      <c r="D48" t="s">
        <v>86</v>
      </c>
      <c r="E48">
        <v>4</v>
      </c>
      <c r="F48" t="s">
        <v>28</v>
      </c>
      <c r="J48" t="s">
        <v>44</v>
      </c>
      <c r="K48" s="1">
        <v>1</v>
      </c>
      <c r="L48" s="1">
        <v>1</v>
      </c>
      <c r="M48" s="1">
        <v>1</v>
      </c>
    </row>
    <row r="49" spans="1:13" x14ac:dyDescent="0.3">
      <c r="A49" t="s">
        <v>92</v>
      </c>
      <c r="B49" t="s">
        <v>14</v>
      </c>
      <c r="C49" t="s">
        <v>42</v>
      </c>
      <c r="D49" t="s">
        <v>86</v>
      </c>
      <c r="E49">
        <v>4</v>
      </c>
      <c r="F49" t="s">
        <v>30</v>
      </c>
      <c r="J49" t="s">
        <v>44</v>
      </c>
      <c r="K49" s="1">
        <v>1</v>
      </c>
      <c r="L49" s="1">
        <v>1</v>
      </c>
      <c r="M49" s="1">
        <v>1</v>
      </c>
    </row>
    <row r="50" spans="1:13" x14ac:dyDescent="0.3">
      <c r="A50" t="s">
        <v>93</v>
      </c>
      <c r="B50" t="s">
        <v>14</v>
      </c>
      <c r="C50" t="s">
        <v>42</v>
      </c>
      <c r="D50" t="s">
        <v>86</v>
      </c>
      <c r="E50">
        <v>4</v>
      </c>
      <c r="F50" t="s">
        <v>32</v>
      </c>
      <c r="G50" s="1">
        <v>1</v>
      </c>
      <c r="H50" s="1">
        <v>1</v>
      </c>
      <c r="J50" t="s">
        <v>44</v>
      </c>
      <c r="K50" s="1">
        <v>1</v>
      </c>
      <c r="L50" s="1">
        <v>1</v>
      </c>
      <c r="M50" s="1">
        <v>1</v>
      </c>
    </row>
    <row r="51" spans="1:13" x14ac:dyDescent="0.3">
      <c r="A51" t="s">
        <v>94</v>
      </c>
      <c r="B51" t="s">
        <v>14</v>
      </c>
      <c r="C51" t="s">
        <v>42</v>
      </c>
      <c r="D51" t="s">
        <v>86</v>
      </c>
      <c r="E51">
        <v>4</v>
      </c>
      <c r="F51" t="s">
        <v>34</v>
      </c>
      <c r="G51" s="1">
        <v>1</v>
      </c>
      <c r="H51" s="1">
        <v>1</v>
      </c>
      <c r="J51" t="s">
        <v>44</v>
      </c>
      <c r="K51" s="1">
        <v>1</v>
      </c>
      <c r="L51" s="1">
        <v>1</v>
      </c>
      <c r="M51" s="1">
        <v>1</v>
      </c>
    </row>
    <row r="52" spans="1:13" x14ac:dyDescent="0.3">
      <c r="A52" t="s">
        <v>95</v>
      </c>
      <c r="B52" t="s">
        <v>14</v>
      </c>
      <c r="C52" t="s">
        <v>42</v>
      </c>
      <c r="D52" t="s">
        <v>86</v>
      </c>
      <c r="E52">
        <v>4</v>
      </c>
      <c r="F52" t="s">
        <v>36</v>
      </c>
      <c r="J52" t="s">
        <v>44</v>
      </c>
      <c r="K52" s="1">
        <v>1</v>
      </c>
      <c r="L52" s="1">
        <v>1</v>
      </c>
      <c r="M52" s="1">
        <v>1</v>
      </c>
    </row>
    <row r="53" spans="1:13" x14ac:dyDescent="0.3">
      <c r="A53" t="s">
        <v>96</v>
      </c>
      <c r="B53" t="s">
        <v>14</v>
      </c>
      <c r="C53" t="s">
        <v>42</v>
      </c>
      <c r="D53" t="s">
        <v>86</v>
      </c>
      <c r="E53">
        <v>4</v>
      </c>
      <c r="F53" t="s">
        <v>38</v>
      </c>
      <c r="J53" t="s">
        <v>44</v>
      </c>
      <c r="K53" s="1">
        <v>1</v>
      </c>
      <c r="L53" s="1">
        <v>1</v>
      </c>
      <c r="M53" s="1">
        <v>1</v>
      </c>
    </row>
    <row r="54" spans="1:13" x14ac:dyDescent="0.3">
      <c r="A54" t="s">
        <v>97</v>
      </c>
      <c r="B54" t="s">
        <v>14</v>
      </c>
      <c r="C54" t="s">
        <v>42</v>
      </c>
      <c r="D54" t="s">
        <v>86</v>
      </c>
      <c r="E54">
        <v>4</v>
      </c>
      <c r="F54" t="s">
        <v>40</v>
      </c>
      <c r="G54" s="1">
        <v>1</v>
      </c>
      <c r="H54" s="1">
        <v>1</v>
      </c>
      <c r="J54" t="s">
        <v>44</v>
      </c>
      <c r="K54" s="1">
        <v>1</v>
      </c>
      <c r="L54" s="1">
        <v>1</v>
      </c>
      <c r="M54" s="1">
        <v>1</v>
      </c>
    </row>
    <row r="55" spans="1:13" x14ac:dyDescent="0.3">
      <c r="A55" t="s">
        <v>98</v>
      </c>
      <c r="B55" t="s">
        <v>14</v>
      </c>
      <c r="C55" t="s">
        <v>42</v>
      </c>
      <c r="D55" t="s">
        <v>99</v>
      </c>
      <c r="E55">
        <v>4</v>
      </c>
      <c r="F55" t="s">
        <v>17</v>
      </c>
      <c r="J55" t="s">
        <v>44</v>
      </c>
      <c r="L55" s="1">
        <v>1</v>
      </c>
    </row>
    <row r="56" spans="1:13" x14ac:dyDescent="0.3">
      <c r="A56" t="s">
        <v>100</v>
      </c>
      <c r="B56" t="s">
        <v>14</v>
      </c>
      <c r="C56" t="s">
        <v>42</v>
      </c>
      <c r="D56" t="s">
        <v>99</v>
      </c>
      <c r="E56">
        <v>4</v>
      </c>
      <c r="F56" t="s">
        <v>20</v>
      </c>
      <c r="J56" t="s">
        <v>44</v>
      </c>
      <c r="L56" s="1">
        <v>1</v>
      </c>
    </row>
    <row r="57" spans="1:13" x14ac:dyDescent="0.3">
      <c r="A57" t="s">
        <v>101</v>
      </c>
      <c r="B57" t="s">
        <v>14</v>
      </c>
      <c r="C57" t="s">
        <v>42</v>
      </c>
      <c r="D57" t="s">
        <v>99</v>
      </c>
      <c r="E57">
        <v>4</v>
      </c>
      <c r="F57" t="s">
        <v>22</v>
      </c>
      <c r="J57" t="s">
        <v>44</v>
      </c>
      <c r="L57" s="1">
        <v>1</v>
      </c>
    </row>
    <row r="58" spans="1:13" x14ac:dyDescent="0.3">
      <c r="A58" t="s">
        <v>102</v>
      </c>
      <c r="B58" t="s">
        <v>14</v>
      </c>
      <c r="C58" t="s">
        <v>42</v>
      </c>
      <c r="D58" t="s">
        <v>99</v>
      </c>
      <c r="E58">
        <v>4</v>
      </c>
      <c r="F58" t="s">
        <v>24</v>
      </c>
      <c r="J58" t="s">
        <v>44</v>
      </c>
      <c r="L58" s="1">
        <v>1</v>
      </c>
    </row>
    <row r="59" spans="1:13" x14ac:dyDescent="0.3">
      <c r="A59" t="s">
        <v>103</v>
      </c>
      <c r="B59" t="s">
        <v>14</v>
      </c>
      <c r="C59" t="s">
        <v>42</v>
      </c>
      <c r="D59" t="s">
        <v>99</v>
      </c>
      <c r="E59">
        <v>4</v>
      </c>
      <c r="F59" t="s">
        <v>26</v>
      </c>
      <c r="J59" t="s">
        <v>44</v>
      </c>
      <c r="L59" s="1">
        <v>1</v>
      </c>
    </row>
    <row r="60" spans="1:13" x14ac:dyDescent="0.3">
      <c r="A60" t="s">
        <v>104</v>
      </c>
      <c r="B60" t="s">
        <v>14</v>
      </c>
      <c r="C60" t="s">
        <v>42</v>
      </c>
      <c r="D60" t="s">
        <v>99</v>
      </c>
      <c r="E60">
        <v>4</v>
      </c>
      <c r="F60" t="s">
        <v>28</v>
      </c>
      <c r="J60" t="s">
        <v>44</v>
      </c>
      <c r="L60" s="1">
        <v>1</v>
      </c>
    </row>
    <row r="61" spans="1:13" x14ac:dyDescent="0.3">
      <c r="A61" t="s">
        <v>105</v>
      </c>
      <c r="B61" t="s">
        <v>14</v>
      </c>
      <c r="C61" t="s">
        <v>42</v>
      </c>
      <c r="D61" t="s">
        <v>99</v>
      </c>
      <c r="E61">
        <v>4</v>
      </c>
      <c r="F61" t="s">
        <v>30</v>
      </c>
      <c r="J61" t="s">
        <v>44</v>
      </c>
      <c r="L61" s="1">
        <v>1</v>
      </c>
    </row>
    <row r="62" spans="1:13" x14ac:dyDescent="0.3">
      <c r="A62" t="s">
        <v>106</v>
      </c>
      <c r="B62" t="s">
        <v>14</v>
      </c>
      <c r="C62" t="s">
        <v>42</v>
      </c>
      <c r="D62" t="s">
        <v>99</v>
      </c>
      <c r="E62">
        <v>4</v>
      </c>
      <c r="F62" t="s">
        <v>32</v>
      </c>
      <c r="J62" t="s">
        <v>44</v>
      </c>
      <c r="L62" s="1">
        <v>1</v>
      </c>
    </row>
    <row r="63" spans="1:13" x14ac:dyDescent="0.3">
      <c r="A63" t="s">
        <v>107</v>
      </c>
      <c r="B63" t="s">
        <v>14</v>
      </c>
      <c r="C63" t="s">
        <v>42</v>
      </c>
      <c r="D63" t="s">
        <v>99</v>
      </c>
      <c r="E63">
        <v>4</v>
      </c>
      <c r="F63" t="s">
        <v>34</v>
      </c>
      <c r="J63" t="s">
        <v>44</v>
      </c>
      <c r="L63" s="1">
        <v>1</v>
      </c>
    </row>
    <row r="64" spans="1:13" x14ac:dyDescent="0.3">
      <c r="A64" t="s">
        <v>108</v>
      </c>
      <c r="B64" t="s">
        <v>14</v>
      </c>
      <c r="C64" t="s">
        <v>42</v>
      </c>
      <c r="D64" t="s">
        <v>99</v>
      </c>
      <c r="E64">
        <v>4</v>
      </c>
      <c r="F64" t="s">
        <v>36</v>
      </c>
      <c r="J64" t="s">
        <v>44</v>
      </c>
      <c r="L64" s="1">
        <v>1</v>
      </c>
    </row>
    <row r="65" spans="1:13" x14ac:dyDescent="0.3">
      <c r="A65" t="s">
        <v>109</v>
      </c>
      <c r="B65" t="s">
        <v>14</v>
      </c>
      <c r="C65" t="s">
        <v>42</v>
      </c>
      <c r="D65" t="s">
        <v>99</v>
      </c>
      <c r="E65">
        <v>4</v>
      </c>
      <c r="F65" t="s">
        <v>38</v>
      </c>
      <c r="J65" t="s">
        <v>44</v>
      </c>
      <c r="L65" s="1">
        <v>1</v>
      </c>
    </row>
    <row r="66" spans="1:13" x14ac:dyDescent="0.3">
      <c r="A66" t="s">
        <v>110</v>
      </c>
      <c r="B66" t="s">
        <v>14</v>
      </c>
      <c r="C66" t="s">
        <v>42</v>
      </c>
      <c r="D66" t="s">
        <v>99</v>
      </c>
      <c r="E66">
        <v>4</v>
      </c>
      <c r="F66" t="s">
        <v>40</v>
      </c>
      <c r="J66" t="s">
        <v>44</v>
      </c>
      <c r="L66" s="1">
        <v>1</v>
      </c>
    </row>
    <row r="67" spans="1:13" x14ac:dyDescent="0.3">
      <c r="A67" t="s">
        <v>111</v>
      </c>
      <c r="B67" t="s">
        <v>14</v>
      </c>
      <c r="C67" t="s">
        <v>15</v>
      </c>
      <c r="D67" t="s">
        <v>112</v>
      </c>
      <c r="E67">
        <v>4</v>
      </c>
      <c r="F67" t="s">
        <v>17</v>
      </c>
      <c r="G67" s="1">
        <v>1</v>
      </c>
      <c r="H67" s="1">
        <v>1</v>
      </c>
      <c r="I67" s="1">
        <v>1</v>
      </c>
      <c r="J67" t="s">
        <v>18</v>
      </c>
      <c r="K67" s="1">
        <v>1</v>
      </c>
      <c r="L67" s="1">
        <v>1</v>
      </c>
      <c r="M67" s="1">
        <v>1</v>
      </c>
    </row>
    <row r="68" spans="1:13" x14ac:dyDescent="0.3">
      <c r="A68" t="s">
        <v>113</v>
      </c>
      <c r="B68" t="s">
        <v>14</v>
      </c>
      <c r="C68" t="s">
        <v>15</v>
      </c>
      <c r="D68" t="s">
        <v>112</v>
      </c>
      <c r="E68">
        <v>4</v>
      </c>
      <c r="F68" t="s">
        <v>20</v>
      </c>
      <c r="G68" s="1">
        <v>1</v>
      </c>
      <c r="H68" s="1">
        <v>1</v>
      </c>
      <c r="I68" s="1">
        <v>1</v>
      </c>
      <c r="J68" t="s">
        <v>18</v>
      </c>
      <c r="K68" s="1">
        <v>1</v>
      </c>
      <c r="L68" s="1">
        <v>1</v>
      </c>
      <c r="M68" s="1">
        <v>1</v>
      </c>
    </row>
    <row r="69" spans="1:13" x14ac:dyDescent="0.3">
      <c r="A69" t="s">
        <v>114</v>
      </c>
      <c r="B69" t="s">
        <v>14</v>
      </c>
      <c r="C69" t="s">
        <v>15</v>
      </c>
      <c r="D69" t="s">
        <v>112</v>
      </c>
      <c r="E69">
        <v>4</v>
      </c>
      <c r="F69" t="s">
        <v>22</v>
      </c>
      <c r="G69" s="1">
        <v>1</v>
      </c>
      <c r="H69" s="1">
        <v>1</v>
      </c>
      <c r="I69" s="1">
        <v>1</v>
      </c>
      <c r="J69" t="s">
        <v>18</v>
      </c>
      <c r="K69" s="1">
        <v>1</v>
      </c>
      <c r="L69" s="1">
        <v>1</v>
      </c>
      <c r="M69" s="1">
        <v>1</v>
      </c>
    </row>
    <row r="70" spans="1:13" x14ac:dyDescent="0.3">
      <c r="A70" t="s">
        <v>115</v>
      </c>
      <c r="B70" t="s">
        <v>14</v>
      </c>
      <c r="C70" t="s">
        <v>15</v>
      </c>
      <c r="D70" t="s">
        <v>112</v>
      </c>
      <c r="E70">
        <v>4</v>
      </c>
      <c r="F70" t="s">
        <v>24</v>
      </c>
      <c r="G70" s="1">
        <v>1</v>
      </c>
      <c r="H70" s="1">
        <v>1</v>
      </c>
      <c r="I70" s="1">
        <v>1</v>
      </c>
      <c r="J70" t="s">
        <v>18</v>
      </c>
      <c r="K70" s="1">
        <v>1</v>
      </c>
      <c r="L70" s="1">
        <v>1</v>
      </c>
      <c r="M70" s="1">
        <v>1</v>
      </c>
    </row>
    <row r="71" spans="1:13" x14ac:dyDescent="0.3">
      <c r="A71" t="s">
        <v>116</v>
      </c>
      <c r="B71" t="s">
        <v>14</v>
      </c>
      <c r="C71" t="s">
        <v>15</v>
      </c>
      <c r="D71" t="s">
        <v>112</v>
      </c>
      <c r="E71">
        <v>4</v>
      </c>
      <c r="F71" t="s">
        <v>26</v>
      </c>
      <c r="G71" s="1">
        <v>1</v>
      </c>
      <c r="H71" s="1">
        <v>1</v>
      </c>
      <c r="I71" s="1">
        <v>1</v>
      </c>
      <c r="J71" t="s">
        <v>18</v>
      </c>
      <c r="K71" s="1">
        <v>1</v>
      </c>
      <c r="L71" s="1">
        <v>1</v>
      </c>
      <c r="M71" s="1">
        <v>1</v>
      </c>
    </row>
    <row r="72" spans="1:13" x14ac:dyDescent="0.3">
      <c r="A72" t="s">
        <v>117</v>
      </c>
      <c r="B72" t="s">
        <v>14</v>
      </c>
      <c r="C72" t="s">
        <v>15</v>
      </c>
      <c r="D72" t="s">
        <v>112</v>
      </c>
      <c r="E72">
        <v>4</v>
      </c>
      <c r="F72" t="s">
        <v>28</v>
      </c>
      <c r="G72" s="1">
        <v>1</v>
      </c>
      <c r="H72" s="1">
        <v>1</v>
      </c>
      <c r="I72" s="1">
        <v>1</v>
      </c>
      <c r="J72" t="s">
        <v>18</v>
      </c>
      <c r="K72" s="1">
        <v>1</v>
      </c>
      <c r="L72" s="1">
        <v>1</v>
      </c>
      <c r="M72" s="1">
        <v>1</v>
      </c>
    </row>
    <row r="73" spans="1:13" x14ac:dyDescent="0.3">
      <c r="A73" t="s">
        <v>118</v>
      </c>
      <c r="B73" t="s">
        <v>14</v>
      </c>
      <c r="C73" t="s">
        <v>15</v>
      </c>
      <c r="D73" t="s">
        <v>119</v>
      </c>
      <c r="E73">
        <v>4</v>
      </c>
      <c r="F73" t="s">
        <v>17</v>
      </c>
      <c r="G73" s="1">
        <v>1</v>
      </c>
      <c r="H73" s="1">
        <v>1</v>
      </c>
      <c r="I73" s="1">
        <v>1</v>
      </c>
      <c r="J73" t="s">
        <v>18</v>
      </c>
      <c r="K73" s="1">
        <v>1</v>
      </c>
      <c r="L73" s="1">
        <v>1</v>
      </c>
      <c r="M73" s="1">
        <v>1</v>
      </c>
    </row>
    <row r="74" spans="1:13" x14ac:dyDescent="0.3">
      <c r="A74" t="s">
        <v>120</v>
      </c>
      <c r="B74" t="s">
        <v>14</v>
      </c>
      <c r="C74" t="s">
        <v>15</v>
      </c>
      <c r="D74" t="s">
        <v>119</v>
      </c>
      <c r="E74">
        <v>4</v>
      </c>
      <c r="F74" t="s">
        <v>20</v>
      </c>
      <c r="G74" s="1">
        <v>1</v>
      </c>
      <c r="H74" s="1">
        <v>1</v>
      </c>
      <c r="I74" s="1">
        <v>1</v>
      </c>
      <c r="J74" t="s">
        <v>18</v>
      </c>
      <c r="K74" s="1">
        <v>1</v>
      </c>
      <c r="L74" s="1">
        <v>1</v>
      </c>
      <c r="M74" s="1">
        <v>1</v>
      </c>
    </row>
    <row r="75" spans="1:13" x14ac:dyDescent="0.3">
      <c r="A75" t="s">
        <v>121</v>
      </c>
      <c r="B75" t="s">
        <v>14</v>
      </c>
      <c r="C75" t="s">
        <v>15</v>
      </c>
      <c r="D75" t="s">
        <v>119</v>
      </c>
      <c r="E75">
        <v>4</v>
      </c>
      <c r="F75" t="s">
        <v>22</v>
      </c>
      <c r="G75" s="1">
        <v>1</v>
      </c>
      <c r="H75" s="1">
        <v>1</v>
      </c>
      <c r="I75" s="1">
        <v>1</v>
      </c>
      <c r="J75" t="s">
        <v>18</v>
      </c>
      <c r="K75" s="1">
        <v>1</v>
      </c>
      <c r="L75" s="1">
        <v>1</v>
      </c>
      <c r="M75" s="1">
        <v>1</v>
      </c>
    </row>
    <row r="76" spans="1:13" x14ac:dyDescent="0.3">
      <c r="A76" t="s">
        <v>122</v>
      </c>
      <c r="B76" t="s">
        <v>14</v>
      </c>
      <c r="C76" t="s">
        <v>15</v>
      </c>
      <c r="D76" t="s">
        <v>119</v>
      </c>
      <c r="E76">
        <v>4</v>
      </c>
      <c r="F76" t="s">
        <v>24</v>
      </c>
      <c r="G76" s="1">
        <v>1</v>
      </c>
      <c r="H76" s="1">
        <v>1</v>
      </c>
      <c r="I76" s="1">
        <v>1</v>
      </c>
      <c r="J76" t="s">
        <v>18</v>
      </c>
      <c r="K76" s="1">
        <v>1</v>
      </c>
      <c r="L76" s="1">
        <v>1</v>
      </c>
      <c r="M76" s="1">
        <v>1</v>
      </c>
    </row>
    <row r="77" spans="1:13" x14ac:dyDescent="0.3">
      <c r="A77" t="s">
        <v>123</v>
      </c>
      <c r="B77" t="s">
        <v>14</v>
      </c>
      <c r="C77" t="s">
        <v>15</v>
      </c>
      <c r="D77" t="s">
        <v>119</v>
      </c>
      <c r="E77">
        <v>4</v>
      </c>
      <c r="F77" t="s">
        <v>26</v>
      </c>
      <c r="G77" s="1">
        <v>1</v>
      </c>
      <c r="H77" s="1">
        <v>1</v>
      </c>
      <c r="I77" s="1">
        <v>1</v>
      </c>
      <c r="J77" t="s">
        <v>18</v>
      </c>
      <c r="K77" s="1">
        <v>1</v>
      </c>
      <c r="L77" s="1">
        <v>1</v>
      </c>
      <c r="M77" s="1">
        <v>1</v>
      </c>
    </row>
    <row r="78" spans="1:13" x14ac:dyDescent="0.3">
      <c r="A78" t="s">
        <v>124</v>
      </c>
      <c r="B78" t="s">
        <v>14</v>
      </c>
      <c r="C78" t="s">
        <v>15</v>
      </c>
      <c r="D78" t="s">
        <v>119</v>
      </c>
      <c r="E78">
        <v>4</v>
      </c>
      <c r="F78" t="s">
        <v>28</v>
      </c>
      <c r="G78" s="1">
        <v>1</v>
      </c>
      <c r="H78" s="1">
        <v>1</v>
      </c>
      <c r="I78" s="1">
        <v>1</v>
      </c>
      <c r="J78" t="s">
        <v>18</v>
      </c>
      <c r="K78" s="1">
        <v>1</v>
      </c>
      <c r="L78" s="1">
        <v>1</v>
      </c>
      <c r="M78" s="1">
        <v>1</v>
      </c>
    </row>
    <row r="79" spans="1:13" x14ac:dyDescent="0.3">
      <c r="A79" t="s">
        <v>125</v>
      </c>
      <c r="B79" t="s">
        <v>14</v>
      </c>
      <c r="C79" t="s">
        <v>15</v>
      </c>
      <c r="D79" t="s">
        <v>119</v>
      </c>
      <c r="E79">
        <v>4</v>
      </c>
      <c r="F79" t="s">
        <v>30</v>
      </c>
      <c r="G79" s="1">
        <v>1</v>
      </c>
      <c r="H79" s="1">
        <v>1</v>
      </c>
      <c r="I79" s="1">
        <v>1</v>
      </c>
      <c r="J79" t="s">
        <v>18</v>
      </c>
      <c r="K79" s="1">
        <v>1</v>
      </c>
      <c r="L79" s="1">
        <v>1</v>
      </c>
      <c r="M79" s="1">
        <v>1</v>
      </c>
    </row>
    <row r="80" spans="1:13" x14ac:dyDescent="0.3">
      <c r="A80" t="s">
        <v>126</v>
      </c>
      <c r="B80" t="s">
        <v>14</v>
      </c>
      <c r="C80" t="s">
        <v>15</v>
      </c>
      <c r="D80" t="s">
        <v>119</v>
      </c>
      <c r="E80">
        <v>4</v>
      </c>
      <c r="F80" t="s">
        <v>32</v>
      </c>
      <c r="G80" s="1">
        <v>1</v>
      </c>
      <c r="H80" s="1">
        <v>1</v>
      </c>
      <c r="I80" s="1">
        <v>1</v>
      </c>
      <c r="J80" t="s">
        <v>18</v>
      </c>
      <c r="K80" s="1">
        <v>1</v>
      </c>
      <c r="L80" s="1">
        <v>1</v>
      </c>
      <c r="M80" s="1">
        <v>1</v>
      </c>
    </row>
    <row r="81" spans="1:13" x14ac:dyDescent="0.3">
      <c r="A81" t="s">
        <v>127</v>
      </c>
      <c r="B81" t="s">
        <v>14</v>
      </c>
      <c r="C81" t="s">
        <v>15</v>
      </c>
      <c r="D81" t="s">
        <v>119</v>
      </c>
      <c r="E81">
        <v>4</v>
      </c>
      <c r="F81" t="s">
        <v>34</v>
      </c>
      <c r="G81" s="1">
        <v>1</v>
      </c>
      <c r="H81" s="1">
        <v>1</v>
      </c>
      <c r="I81" s="1">
        <v>1</v>
      </c>
      <c r="J81" t="s">
        <v>18</v>
      </c>
      <c r="K81" s="1">
        <v>1</v>
      </c>
      <c r="L81" s="1">
        <v>1</v>
      </c>
      <c r="M81" s="1">
        <v>1</v>
      </c>
    </row>
    <row r="82" spans="1:13" x14ac:dyDescent="0.3">
      <c r="A82" t="s">
        <v>128</v>
      </c>
      <c r="B82" t="s">
        <v>14</v>
      </c>
      <c r="C82" t="s">
        <v>15</v>
      </c>
      <c r="D82" t="s">
        <v>119</v>
      </c>
      <c r="E82">
        <v>4</v>
      </c>
      <c r="F82" t="s">
        <v>36</v>
      </c>
      <c r="G82" s="1">
        <v>1</v>
      </c>
      <c r="H82" s="1">
        <v>1</v>
      </c>
      <c r="I82" s="1">
        <v>1</v>
      </c>
      <c r="J82" t="s">
        <v>18</v>
      </c>
      <c r="K82" s="1">
        <v>1</v>
      </c>
      <c r="L82" s="1">
        <v>1</v>
      </c>
      <c r="M82" s="1">
        <v>1</v>
      </c>
    </row>
    <row r="83" spans="1:13" x14ac:dyDescent="0.3">
      <c r="A83" t="s">
        <v>129</v>
      </c>
      <c r="B83" t="s">
        <v>14</v>
      </c>
      <c r="C83" t="s">
        <v>15</v>
      </c>
      <c r="D83" t="s">
        <v>119</v>
      </c>
      <c r="E83">
        <v>4</v>
      </c>
      <c r="F83" t="s">
        <v>38</v>
      </c>
      <c r="G83" s="1">
        <v>1</v>
      </c>
      <c r="H83" s="1">
        <v>1</v>
      </c>
      <c r="I83" s="1">
        <v>1</v>
      </c>
      <c r="J83" t="s">
        <v>18</v>
      </c>
      <c r="K83" s="1">
        <v>1</v>
      </c>
      <c r="L83" s="1">
        <v>1</v>
      </c>
      <c r="M83" s="1">
        <v>1</v>
      </c>
    </row>
    <row r="84" spans="1:13" x14ac:dyDescent="0.3">
      <c r="A84" t="s">
        <v>130</v>
      </c>
      <c r="B84" t="s">
        <v>14</v>
      </c>
      <c r="C84" t="s">
        <v>15</v>
      </c>
      <c r="D84" t="s">
        <v>119</v>
      </c>
      <c r="E84">
        <v>4</v>
      </c>
      <c r="F84" t="s">
        <v>40</v>
      </c>
      <c r="G84" s="1">
        <v>1</v>
      </c>
      <c r="H84" s="1">
        <v>1</v>
      </c>
      <c r="I84" s="1">
        <v>1</v>
      </c>
      <c r="J84" t="s">
        <v>18</v>
      </c>
      <c r="K84" s="1">
        <v>1</v>
      </c>
      <c r="L84" s="1">
        <v>1</v>
      </c>
      <c r="M84" s="1">
        <v>1</v>
      </c>
    </row>
    <row r="85" spans="1:13" x14ac:dyDescent="0.3">
      <c r="A85" t="s">
        <v>131</v>
      </c>
      <c r="B85" t="s">
        <v>14</v>
      </c>
      <c r="C85" t="s">
        <v>15</v>
      </c>
      <c r="D85" t="s">
        <v>119</v>
      </c>
      <c r="E85">
        <v>4</v>
      </c>
      <c r="F85" t="s">
        <v>64</v>
      </c>
      <c r="G85" s="1">
        <v>1</v>
      </c>
      <c r="H85" s="1">
        <v>1</v>
      </c>
      <c r="I85" s="1">
        <v>1</v>
      </c>
      <c r="J85" t="s">
        <v>18</v>
      </c>
      <c r="K85" s="1">
        <v>1</v>
      </c>
      <c r="L85" s="1">
        <v>1</v>
      </c>
      <c r="M85" s="1">
        <v>1</v>
      </c>
    </row>
    <row r="86" spans="1:13" x14ac:dyDescent="0.3">
      <c r="A86" t="s">
        <v>132</v>
      </c>
      <c r="B86" t="s">
        <v>14</v>
      </c>
      <c r="C86" t="s">
        <v>15</v>
      </c>
      <c r="D86" t="s">
        <v>119</v>
      </c>
      <c r="E86">
        <v>4</v>
      </c>
      <c r="F86" t="s">
        <v>66</v>
      </c>
      <c r="G86" s="1">
        <v>1</v>
      </c>
      <c r="H86" s="1">
        <v>1</v>
      </c>
      <c r="I86" s="1">
        <v>1</v>
      </c>
      <c r="J86" t="s">
        <v>18</v>
      </c>
      <c r="K86" s="1">
        <v>1</v>
      </c>
      <c r="L86" s="1">
        <v>1</v>
      </c>
      <c r="M86" s="1">
        <v>1</v>
      </c>
    </row>
    <row r="87" spans="1:13" x14ac:dyDescent="0.3">
      <c r="A87" t="s">
        <v>133</v>
      </c>
      <c r="B87" t="s">
        <v>14</v>
      </c>
      <c r="C87" t="s">
        <v>15</v>
      </c>
      <c r="D87" t="s">
        <v>119</v>
      </c>
      <c r="E87">
        <v>4</v>
      </c>
      <c r="F87" t="s">
        <v>68</v>
      </c>
      <c r="G87" s="1">
        <v>1</v>
      </c>
      <c r="H87" s="1">
        <v>1</v>
      </c>
      <c r="I87" s="1">
        <v>1</v>
      </c>
      <c r="J87" t="s">
        <v>18</v>
      </c>
      <c r="K87" s="1">
        <v>1</v>
      </c>
      <c r="L87" s="1">
        <v>1</v>
      </c>
      <c r="M87" s="1">
        <v>1</v>
      </c>
    </row>
    <row r="88" spans="1:13" x14ac:dyDescent="0.3">
      <c r="A88" t="s">
        <v>134</v>
      </c>
      <c r="B88" t="s">
        <v>14</v>
      </c>
      <c r="C88" t="s">
        <v>15</v>
      </c>
      <c r="D88" t="s">
        <v>119</v>
      </c>
      <c r="E88">
        <v>4</v>
      </c>
      <c r="F88" t="s">
        <v>70</v>
      </c>
      <c r="G88" s="1">
        <v>1</v>
      </c>
      <c r="H88" s="1">
        <v>1</v>
      </c>
      <c r="I88" s="1">
        <v>1</v>
      </c>
      <c r="J88" t="s">
        <v>18</v>
      </c>
      <c r="K88" s="1">
        <v>1</v>
      </c>
      <c r="L88" s="1">
        <v>1</v>
      </c>
      <c r="M88" s="1">
        <v>1</v>
      </c>
    </row>
    <row r="89" spans="1:13" x14ac:dyDescent="0.3">
      <c r="A89" t="s">
        <v>135</v>
      </c>
      <c r="B89" t="s">
        <v>14</v>
      </c>
      <c r="C89" t="s">
        <v>15</v>
      </c>
      <c r="D89" t="s">
        <v>119</v>
      </c>
      <c r="E89">
        <v>4</v>
      </c>
      <c r="F89" t="s">
        <v>72</v>
      </c>
      <c r="G89" s="1">
        <v>1</v>
      </c>
      <c r="H89" s="1">
        <v>1</v>
      </c>
      <c r="I89" s="1">
        <v>1</v>
      </c>
      <c r="J89" t="s">
        <v>18</v>
      </c>
      <c r="K89" s="1">
        <v>1</v>
      </c>
      <c r="L89" s="1">
        <v>1</v>
      </c>
      <c r="M89" s="1">
        <v>1</v>
      </c>
    </row>
    <row r="90" spans="1:13" x14ac:dyDescent="0.3">
      <c r="A90" t="s">
        <v>136</v>
      </c>
      <c r="B90" t="s">
        <v>14</v>
      </c>
      <c r="C90" t="s">
        <v>15</v>
      </c>
      <c r="D90" t="s">
        <v>119</v>
      </c>
      <c r="E90">
        <v>4</v>
      </c>
      <c r="F90" t="s">
        <v>74</v>
      </c>
      <c r="G90" s="1">
        <v>1</v>
      </c>
      <c r="H90" s="1">
        <v>1</v>
      </c>
      <c r="I90" s="1">
        <v>1</v>
      </c>
      <c r="J90" t="s">
        <v>18</v>
      </c>
      <c r="K90" s="1">
        <v>1</v>
      </c>
      <c r="L90" s="1">
        <v>1</v>
      </c>
      <c r="M90" s="1">
        <v>1</v>
      </c>
    </row>
    <row r="91" spans="1:13" x14ac:dyDescent="0.3">
      <c r="A91" t="s">
        <v>137</v>
      </c>
      <c r="B91" t="s">
        <v>14</v>
      </c>
      <c r="C91" t="s">
        <v>15</v>
      </c>
      <c r="D91" t="s">
        <v>119</v>
      </c>
      <c r="E91">
        <v>4</v>
      </c>
      <c r="F91" t="s">
        <v>76</v>
      </c>
      <c r="G91" s="1">
        <v>1</v>
      </c>
      <c r="H91" s="1">
        <v>1</v>
      </c>
      <c r="I91" s="1">
        <v>1</v>
      </c>
      <c r="J91" t="s">
        <v>18</v>
      </c>
      <c r="K91" s="1">
        <v>1</v>
      </c>
      <c r="L91" s="1">
        <v>1</v>
      </c>
      <c r="M91" s="1">
        <v>1</v>
      </c>
    </row>
    <row r="92" spans="1:13" x14ac:dyDescent="0.3">
      <c r="A92" t="s">
        <v>138</v>
      </c>
      <c r="B92" t="s">
        <v>14</v>
      </c>
      <c r="C92" t="s">
        <v>15</v>
      </c>
      <c r="D92" t="s">
        <v>119</v>
      </c>
      <c r="E92">
        <v>4</v>
      </c>
      <c r="F92" t="s">
        <v>78</v>
      </c>
      <c r="G92" s="1">
        <v>1</v>
      </c>
      <c r="H92" s="1">
        <v>1</v>
      </c>
      <c r="I92" s="1">
        <v>1</v>
      </c>
      <c r="J92" t="s">
        <v>18</v>
      </c>
      <c r="K92" s="1">
        <v>1</v>
      </c>
      <c r="L92" s="1">
        <v>1</v>
      </c>
      <c r="M92" s="1">
        <v>1</v>
      </c>
    </row>
    <row r="93" spans="1:13" x14ac:dyDescent="0.3">
      <c r="A93" t="s">
        <v>139</v>
      </c>
      <c r="B93" t="s">
        <v>14</v>
      </c>
      <c r="C93" t="s">
        <v>15</v>
      </c>
      <c r="D93" t="s">
        <v>119</v>
      </c>
      <c r="E93">
        <v>4</v>
      </c>
      <c r="F93" t="s">
        <v>80</v>
      </c>
      <c r="G93" s="1">
        <v>1</v>
      </c>
      <c r="H93" s="1">
        <v>1</v>
      </c>
      <c r="I93" s="1">
        <v>1</v>
      </c>
      <c r="J93" t="s">
        <v>18</v>
      </c>
      <c r="K93" s="1">
        <v>1</v>
      </c>
      <c r="L93" s="1">
        <v>1</v>
      </c>
      <c r="M93" s="1">
        <v>1</v>
      </c>
    </row>
    <row r="94" spans="1:13" x14ac:dyDescent="0.3">
      <c r="A94" t="s">
        <v>140</v>
      </c>
      <c r="B94" t="s">
        <v>14</v>
      </c>
      <c r="C94" t="s">
        <v>15</v>
      </c>
      <c r="D94" t="s">
        <v>119</v>
      </c>
      <c r="E94">
        <v>4</v>
      </c>
      <c r="F94" t="s">
        <v>82</v>
      </c>
      <c r="G94" s="1">
        <v>1</v>
      </c>
      <c r="H94" s="1">
        <v>1</v>
      </c>
      <c r="I94" s="1">
        <v>1</v>
      </c>
      <c r="J94" t="s">
        <v>18</v>
      </c>
      <c r="K94" s="1">
        <v>1</v>
      </c>
      <c r="L94" s="1">
        <v>1</v>
      </c>
      <c r="M94" s="1">
        <v>1</v>
      </c>
    </row>
    <row r="95" spans="1:13" x14ac:dyDescent="0.3">
      <c r="A95" t="s">
        <v>141</v>
      </c>
      <c r="B95" t="s">
        <v>14</v>
      </c>
      <c r="C95" t="s">
        <v>15</v>
      </c>
      <c r="D95" t="s">
        <v>119</v>
      </c>
      <c r="E95">
        <v>4</v>
      </c>
      <c r="F95" t="s">
        <v>84</v>
      </c>
      <c r="G95" s="1">
        <v>1</v>
      </c>
      <c r="H95" s="1">
        <v>1</v>
      </c>
      <c r="I95" s="1">
        <v>1</v>
      </c>
      <c r="J95" t="s">
        <v>18</v>
      </c>
      <c r="K95" s="1">
        <v>1</v>
      </c>
      <c r="L95" s="1">
        <v>1</v>
      </c>
      <c r="M95" s="1">
        <v>1</v>
      </c>
    </row>
    <row r="96" spans="1:13" x14ac:dyDescent="0.3">
      <c r="A96" t="s">
        <v>13</v>
      </c>
      <c r="B96" t="s">
        <v>14</v>
      </c>
      <c r="C96" t="s">
        <v>15</v>
      </c>
      <c r="D96" t="s">
        <v>16</v>
      </c>
      <c r="E96">
        <v>4</v>
      </c>
      <c r="F96" t="s">
        <v>17</v>
      </c>
      <c r="G96" s="1">
        <v>1</v>
      </c>
      <c r="H96" s="1">
        <v>1</v>
      </c>
      <c r="I96" s="1">
        <v>1</v>
      </c>
      <c r="J96" t="s">
        <v>18</v>
      </c>
      <c r="K96" s="1">
        <v>1</v>
      </c>
      <c r="L96" s="1">
        <v>1</v>
      </c>
      <c r="M96" s="1">
        <v>1</v>
      </c>
    </row>
    <row r="97" spans="1:13" x14ac:dyDescent="0.3">
      <c r="A97" t="s">
        <v>19</v>
      </c>
      <c r="B97" t="s">
        <v>14</v>
      </c>
      <c r="C97" t="s">
        <v>15</v>
      </c>
      <c r="D97" t="s">
        <v>16</v>
      </c>
      <c r="E97">
        <v>4</v>
      </c>
      <c r="F97" t="s">
        <v>20</v>
      </c>
      <c r="J97" t="s">
        <v>18</v>
      </c>
      <c r="K97" s="1">
        <v>1</v>
      </c>
      <c r="L97" s="1">
        <v>1</v>
      </c>
      <c r="M97" s="1">
        <v>1</v>
      </c>
    </row>
    <row r="98" spans="1:13" x14ac:dyDescent="0.3">
      <c r="A98" t="s">
        <v>21</v>
      </c>
      <c r="B98" t="s">
        <v>14</v>
      </c>
      <c r="C98" t="s">
        <v>15</v>
      </c>
      <c r="D98" t="s">
        <v>16</v>
      </c>
      <c r="E98">
        <v>4</v>
      </c>
      <c r="F98" t="s">
        <v>22</v>
      </c>
      <c r="J98" t="s">
        <v>18</v>
      </c>
      <c r="K98" s="1">
        <v>1</v>
      </c>
      <c r="L98" s="1">
        <v>1</v>
      </c>
      <c r="M98" s="1">
        <v>1</v>
      </c>
    </row>
    <row r="99" spans="1:13" x14ac:dyDescent="0.3">
      <c r="A99" t="s">
        <v>23</v>
      </c>
      <c r="B99" t="s">
        <v>14</v>
      </c>
      <c r="C99" t="s">
        <v>15</v>
      </c>
      <c r="D99" t="s">
        <v>16</v>
      </c>
      <c r="E99">
        <v>4</v>
      </c>
      <c r="F99" t="s">
        <v>24</v>
      </c>
      <c r="J99" t="s">
        <v>18</v>
      </c>
      <c r="K99" s="1">
        <v>1</v>
      </c>
      <c r="L99" s="1">
        <v>1</v>
      </c>
      <c r="M99" s="1">
        <v>1</v>
      </c>
    </row>
    <row r="100" spans="1:13" x14ac:dyDescent="0.3">
      <c r="A100" t="s">
        <v>25</v>
      </c>
      <c r="B100" t="s">
        <v>14</v>
      </c>
      <c r="C100" t="s">
        <v>15</v>
      </c>
      <c r="D100" t="s">
        <v>16</v>
      </c>
      <c r="E100">
        <v>4</v>
      </c>
      <c r="F100" t="s">
        <v>26</v>
      </c>
      <c r="G100" s="1">
        <v>1</v>
      </c>
      <c r="H100" s="1">
        <v>1</v>
      </c>
      <c r="I100" s="1">
        <v>1</v>
      </c>
      <c r="J100" t="s">
        <v>18</v>
      </c>
      <c r="K100" s="1">
        <v>1</v>
      </c>
      <c r="L100" s="1">
        <v>1</v>
      </c>
      <c r="M100" s="1">
        <v>1</v>
      </c>
    </row>
    <row r="101" spans="1:13" x14ac:dyDescent="0.3">
      <c r="A101" t="s">
        <v>27</v>
      </c>
      <c r="B101" t="s">
        <v>14</v>
      </c>
      <c r="C101" t="s">
        <v>15</v>
      </c>
      <c r="D101" t="s">
        <v>16</v>
      </c>
      <c r="E101">
        <v>4</v>
      </c>
      <c r="F101" t="s">
        <v>28</v>
      </c>
      <c r="G101" s="1">
        <v>1</v>
      </c>
      <c r="H101" s="1">
        <v>1</v>
      </c>
      <c r="I101" s="1">
        <v>1</v>
      </c>
      <c r="J101" t="s">
        <v>18</v>
      </c>
      <c r="K101" s="1">
        <v>1</v>
      </c>
      <c r="L101" s="1">
        <v>1</v>
      </c>
      <c r="M101" s="1">
        <v>1</v>
      </c>
    </row>
    <row r="102" spans="1:13" x14ac:dyDescent="0.3">
      <c r="A102" t="s">
        <v>29</v>
      </c>
      <c r="B102" t="s">
        <v>14</v>
      </c>
      <c r="C102" t="s">
        <v>15</v>
      </c>
      <c r="D102" t="s">
        <v>16</v>
      </c>
      <c r="E102">
        <v>4</v>
      </c>
      <c r="F102" t="s">
        <v>30</v>
      </c>
      <c r="G102" s="1">
        <v>1</v>
      </c>
      <c r="H102" s="1">
        <v>1</v>
      </c>
      <c r="I102" s="1">
        <v>1</v>
      </c>
      <c r="J102" t="s">
        <v>18</v>
      </c>
      <c r="K102" s="1">
        <v>1</v>
      </c>
      <c r="L102" s="1">
        <v>1</v>
      </c>
      <c r="M102" s="1">
        <v>1</v>
      </c>
    </row>
    <row r="103" spans="1:13" x14ac:dyDescent="0.3">
      <c r="A103" t="s">
        <v>31</v>
      </c>
      <c r="B103" t="s">
        <v>14</v>
      </c>
      <c r="C103" t="s">
        <v>15</v>
      </c>
      <c r="D103" t="s">
        <v>16</v>
      </c>
      <c r="E103">
        <v>4</v>
      </c>
      <c r="F103" t="s">
        <v>32</v>
      </c>
      <c r="G103" s="1">
        <v>1</v>
      </c>
      <c r="H103" s="1">
        <v>1</v>
      </c>
      <c r="I103" s="1">
        <v>1</v>
      </c>
      <c r="J103" t="s">
        <v>18</v>
      </c>
      <c r="K103" s="1">
        <v>1</v>
      </c>
      <c r="L103" s="1">
        <v>1</v>
      </c>
      <c r="M103" s="1">
        <v>1</v>
      </c>
    </row>
    <row r="104" spans="1:13" x14ac:dyDescent="0.3">
      <c r="A104" t="s">
        <v>33</v>
      </c>
      <c r="B104" t="s">
        <v>14</v>
      </c>
      <c r="C104" t="s">
        <v>15</v>
      </c>
      <c r="D104" t="s">
        <v>16</v>
      </c>
      <c r="E104">
        <v>4</v>
      </c>
      <c r="F104" t="s">
        <v>34</v>
      </c>
      <c r="J104" t="s">
        <v>18</v>
      </c>
      <c r="K104" s="1">
        <v>1</v>
      </c>
      <c r="L104" s="1">
        <v>1</v>
      </c>
      <c r="M104" s="1">
        <v>1</v>
      </c>
    </row>
    <row r="105" spans="1:13" x14ac:dyDescent="0.3">
      <c r="A105" t="s">
        <v>35</v>
      </c>
      <c r="B105" t="s">
        <v>14</v>
      </c>
      <c r="C105" t="s">
        <v>15</v>
      </c>
      <c r="D105" t="s">
        <v>16</v>
      </c>
      <c r="E105">
        <v>4</v>
      </c>
      <c r="F105" t="s">
        <v>36</v>
      </c>
      <c r="J105" t="s">
        <v>18</v>
      </c>
      <c r="K105" s="1">
        <v>1</v>
      </c>
      <c r="L105" s="1">
        <v>1</v>
      </c>
      <c r="M105" s="1">
        <v>1</v>
      </c>
    </row>
    <row r="106" spans="1:13" x14ac:dyDescent="0.3">
      <c r="A106" t="s">
        <v>37</v>
      </c>
      <c r="B106" t="s">
        <v>14</v>
      </c>
      <c r="C106" t="s">
        <v>15</v>
      </c>
      <c r="D106" t="s">
        <v>16</v>
      </c>
      <c r="E106">
        <v>4</v>
      </c>
      <c r="F106" t="s">
        <v>38</v>
      </c>
      <c r="J106" t="s">
        <v>18</v>
      </c>
      <c r="K106" s="1">
        <v>1</v>
      </c>
      <c r="L106" s="1">
        <v>1</v>
      </c>
      <c r="M106" s="1">
        <v>1</v>
      </c>
    </row>
    <row r="107" spans="1:13" x14ac:dyDescent="0.3">
      <c r="A107" t="s">
        <v>39</v>
      </c>
      <c r="B107" t="s">
        <v>14</v>
      </c>
      <c r="C107" t="s">
        <v>15</v>
      </c>
      <c r="D107" t="s">
        <v>16</v>
      </c>
      <c r="E107">
        <v>4</v>
      </c>
      <c r="F107" t="s">
        <v>40</v>
      </c>
      <c r="J107" t="s">
        <v>18</v>
      </c>
      <c r="K107" s="1">
        <v>1</v>
      </c>
      <c r="L107" s="1">
        <v>1</v>
      </c>
      <c r="M107" s="1">
        <v>1</v>
      </c>
    </row>
    <row r="108" spans="1:13" x14ac:dyDescent="0.3">
      <c r="A108" t="s">
        <v>142</v>
      </c>
      <c r="B108" t="s">
        <v>14</v>
      </c>
      <c r="C108" t="s">
        <v>15</v>
      </c>
      <c r="D108" t="s">
        <v>143</v>
      </c>
      <c r="E108">
        <v>4</v>
      </c>
      <c r="F108" t="s">
        <v>17</v>
      </c>
      <c r="J108" t="s">
        <v>18</v>
      </c>
      <c r="K108" s="1">
        <v>1</v>
      </c>
      <c r="L108" s="1">
        <v>1</v>
      </c>
      <c r="M108" s="1">
        <v>1</v>
      </c>
    </row>
    <row r="109" spans="1:13" x14ac:dyDescent="0.3">
      <c r="A109" t="s">
        <v>144</v>
      </c>
      <c r="B109" t="s">
        <v>14</v>
      </c>
      <c r="C109" t="s">
        <v>15</v>
      </c>
      <c r="D109" t="s">
        <v>143</v>
      </c>
      <c r="E109">
        <v>4</v>
      </c>
      <c r="F109" t="s">
        <v>20</v>
      </c>
      <c r="J109" t="s">
        <v>18</v>
      </c>
      <c r="K109" s="1">
        <v>1</v>
      </c>
      <c r="L109" s="1">
        <v>1</v>
      </c>
      <c r="M109" s="1">
        <v>1</v>
      </c>
    </row>
    <row r="110" spans="1:13" x14ac:dyDescent="0.3">
      <c r="A110" t="s">
        <v>145</v>
      </c>
      <c r="B110" t="s">
        <v>14</v>
      </c>
      <c r="C110" t="s">
        <v>15</v>
      </c>
      <c r="D110" t="s">
        <v>143</v>
      </c>
      <c r="E110">
        <v>4</v>
      </c>
      <c r="F110" t="s">
        <v>22</v>
      </c>
      <c r="J110" t="s">
        <v>18</v>
      </c>
      <c r="K110" s="1">
        <v>1</v>
      </c>
      <c r="L110" s="1">
        <v>1</v>
      </c>
      <c r="M110" s="1">
        <v>1</v>
      </c>
    </row>
    <row r="111" spans="1:13" x14ac:dyDescent="0.3">
      <c r="A111" t="s">
        <v>146</v>
      </c>
      <c r="B111" t="s">
        <v>14</v>
      </c>
      <c r="C111" t="s">
        <v>15</v>
      </c>
      <c r="D111" t="s">
        <v>143</v>
      </c>
      <c r="E111">
        <v>4</v>
      </c>
      <c r="F111" t="s">
        <v>24</v>
      </c>
      <c r="J111" t="s">
        <v>18</v>
      </c>
      <c r="K111" s="1">
        <v>1</v>
      </c>
      <c r="L111" s="1">
        <v>1</v>
      </c>
      <c r="M111" s="1">
        <v>1</v>
      </c>
    </row>
    <row r="112" spans="1:13" x14ac:dyDescent="0.3">
      <c r="A112" t="s">
        <v>147</v>
      </c>
      <c r="B112" t="s">
        <v>14</v>
      </c>
      <c r="C112" t="s">
        <v>15</v>
      </c>
      <c r="D112" t="s">
        <v>143</v>
      </c>
      <c r="E112">
        <v>4</v>
      </c>
      <c r="F112" t="s">
        <v>26</v>
      </c>
      <c r="J112" t="s">
        <v>18</v>
      </c>
      <c r="K112" s="1">
        <v>1</v>
      </c>
      <c r="L112" s="1">
        <v>1</v>
      </c>
      <c r="M112" s="1">
        <v>1</v>
      </c>
    </row>
    <row r="113" spans="1:13" x14ac:dyDescent="0.3">
      <c r="A113" t="s">
        <v>148</v>
      </c>
      <c r="B113" t="s">
        <v>14</v>
      </c>
      <c r="C113" t="s">
        <v>15</v>
      </c>
      <c r="D113" t="s">
        <v>143</v>
      </c>
      <c r="E113">
        <v>4</v>
      </c>
      <c r="F113" t="s">
        <v>28</v>
      </c>
      <c r="J113" t="s">
        <v>18</v>
      </c>
      <c r="K113" s="1">
        <v>1</v>
      </c>
      <c r="L113" s="1">
        <v>1</v>
      </c>
      <c r="M113" s="1">
        <v>1</v>
      </c>
    </row>
    <row r="114" spans="1:13" x14ac:dyDescent="0.3">
      <c r="A114" t="s">
        <v>149</v>
      </c>
      <c r="B114" t="s">
        <v>14</v>
      </c>
      <c r="C114" t="s">
        <v>15</v>
      </c>
      <c r="D114" t="s">
        <v>143</v>
      </c>
      <c r="E114">
        <v>4</v>
      </c>
      <c r="F114" t="s">
        <v>30</v>
      </c>
      <c r="J114" t="s">
        <v>18</v>
      </c>
      <c r="K114" s="1">
        <v>1</v>
      </c>
      <c r="L114" s="1">
        <v>1</v>
      </c>
      <c r="M114" s="1">
        <v>1</v>
      </c>
    </row>
    <row r="115" spans="1:13" x14ac:dyDescent="0.3">
      <c r="A115" t="s">
        <v>150</v>
      </c>
      <c r="B115" t="s">
        <v>14</v>
      </c>
      <c r="C115" t="s">
        <v>15</v>
      </c>
      <c r="D115" t="s">
        <v>143</v>
      </c>
      <c r="E115">
        <v>4</v>
      </c>
      <c r="F115" t="s">
        <v>32</v>
      </c>
      <c r="J115" t="s">
        <v>18</v>
      </c>
      <c r="K115" s="1">
        <v>1</v>
      </c>
      <c r="L115" s="1">
        <v>1</v>
      </c>
      <c r="M115" s="1">
        <v>1</v>
      </c>
    </row>
    <row r="116" spans="1:13" x14ac:dyDescent="0.3">
      <c r="A116" t="s">
        <v>151</v>
      </c>
      <c r="B116" t="s">
        <v>14</v>
      </c>
      <c r="C116" t="s">
        <v>15</v>
      </c>
      <c r="D116" t="s">
        <v>143</v>
      </c>
      <c r="E116">
        <v>4</v>
      </c>
      <c r="F116" t="s">
        <v>34</v>
      </c>
      <c r="J116" t="s">
        <v>18</v>
      </c>
      <c r="K116" s="1">
        <v>1</v>
      </c>
      <c r="L116" s="1">
        <v>1</v>
      </c>
      <c r="M116" s="1">
        <v>1</v>
      </c>
    </row>
    <row r="117" spans="1:13" x14ac:dyDescent="0.3">
      <c r="A117" t="s">
        <v>152</v>
      </c>
      <c r="B117" t="s">
        <v>14</v>
      </c>
      <c r="C117" t="s">
        <v>15</v>
      </c>
      <c r="D117" t="s">
        <v>143</v>
      </c>
      <c r="E117">
        <v>4</v>
      </c>
      <c r="F117" t="s">
        <v>36</v>
      </c>
      <c r="J117" t="s">
        <v>18</v>
      </c>
      <c r="K117" s="1">
        <v>1</v>
      </c>
      <c r="L117" s="1">
        <v>1</v>
      </c>
      <c r="M117" s="1">
        <v>1</v>
      </c>
    </row>
    <row r="118" spans="1:13" x14ac:dyDescent="0.3">
      <c r="A118" t="s">
        <v>153</v>
      </c>
      <c r="B118" t="s">
        <v>14</v>
      </c>
      <c r="C118" t="s">
        <v>15</v>
      </c>
      <c r="D118" t="s">
        <v>143</v>
      </c>
      <c r="E118">
        <v>4</v>
      </c>
      <c r="F118" t="s">
        <v>38</v>
      </c>
      <c r="J118" t="s">
        <v>18</v>
      </c>
      <c r="K118" s="1">
        <v>1</v>
      </c>
      <c r="L118" s="1">
        <v>1</v>
      </c>
      <c r="M118" s="1">
        <v>1</v>
      </c>
    </row>
    <row r="119" spans="1:13" x14ac:dyDescent="0.3">
      <c r="A119" t="s">
        <v>154</v>
      </c>
      <c r="B119" t="s">
        <v>14</v>
      </c>
      <c r="C119" t="s">
        <v>15</v>
      </c>
      <c r="D119" t="s">
        <v>143</v>
      </c>
      <c r="E119">
        <v>4</v>
      </c>
      <c r="F119" t="s">
        <v>40</v>
      </c>
      <c r="J119" t="s">
        <v>18</v>
      </c>
      <c r="K119" s="1">
        <v>1</v>
      </c>
      <c r="L119" s="1">
        <v>1</v>
      </c>
      <c r="M119" s="1">
        <v>1</v>
      </c>
    </row>
    <row r="120" spans="1:13" x14ac:dyDescent="0.3">
      <c r="A120" t="s">
        <v>155</v>
      </c>
      <c r="B120" t="s">
        <v>14</v>
      </c>
      <c r="C120" t="s">
        <v>15</v>
      </c>
      <c r="D120" t="s">
        <v>156</v>
      </c>
      <c r="E120">
        <v>4</v>
      </c>
      <c r="F120" t="s">
        <v>17</v>
      </c>
      <c r="G120" s="1">
        <v>0</v>
      </c>
      <c r="H120" s="1">
        <v>0</v>
      </c>
      <c r="I120" s="1">
        <v>0</v>
      </c>
      <c r="J120" t="s">
        <v>157</v>
      </c>
      <c r="K120" s="1">
        <v>0</v>
      </c>
      <c r="L120" s="1">
        <v>0</v>
      </c>
      <c r="M120" s="1">
        <v>0</v>
      </c>
    </row>
    <row r="121" spans="1:13" x14ac:dyDescent="0.3">
      <c r="A121" t="s">
        <v>158</v>
      </c>
      <c r="B121" t="s">
        <v>14</v>
      </c>
      <c r="C121" t="s">
        <v>15</v>
      </c>
      <c r="D121" t="s">
        <v>156</v>
      </c>
      <c r="E121">
        <v>4</v>
      </c>
      <c r="F121" t="s">
        <v>20</v>
      </c>
      <c r="G121" s="1">
        <v>0</v>
      </c>
      <c r="H121" s="1">
        <v>0</v>
      </c>
      <c r="I121" s="1">
        <v>0</v>
      </c>
      <c r="J121" t="s">
        <v>157</v>
      </c>
      <c r="K121" s="1">
        <v>0</v>
      </c>
      <c r="L121" s="1">
        <v>0</v>
      </c>
      <c r="M121" s="1">
        <v>0</v>
      </c>
    </row>
    <row r="122" spans="1:13" x14ac:dyDescent="0.3">
      <c r="A122" t="s">
        <v>159</v>
      </c>
      <c r="B122" t="s">
        <v>14</v>
      </c>
      <c r="C122" t="s">
        <v>15</v>
      </c>
      <c r="D122" t="s">
        <v>156</v>
      </c>
      <c r="E122">
        <v>4</v>
      </c>
      <c r="F122" t="s">
        <v>22</v>
      </c>
      <c r="G122" s="1">
        <v>0</v>
      </c>
      <c r="H122" s="1">
        <v>0</v>
      </c>
      <c r="I122" s="1">
        <v>0</v>
      </c>
      <c r="J122" t="s">
        <v>157</v>
      </c>
      <c r="K122" s="1">
        <v>0</v>
      </c>
      <c r="L122" s="1">
        <v>0</v>
      </c>
      <c r="M122" s="1">
        <v>0</v>
      </c>
    </row>
    <row r="123" spans="1:13" x14ac:dyDescent="0.3">
      <c r="A123" t="s">
        <v>160</v>
      </c>
      <c r="B123" t="s">
        <v>14</v>
      </c>
      <c r="C123" t="s">
        <v>15</v>
      </c>
      <c r="D123" t="s">
        <v>156</v>
      </c>
      <c r="E123">
        <v>4</v>
      </c>
      <c r="F123" t="s">
        <v>24</v>
      </c>
      <c r="G123" s="1">
        <v>0</v>
      </c>
      <c r="H123" s="1">
        <v>0</v>
      </c>
      <c r="I123" s="1">
        <v>0</v>
      </c>
      <c r="J123" t="s">
        <v>157</v>
      </c>
      <c r="K123" s="1">
        <v>0</v>
      </c>
      <c r="L123" s="1">
        <v>0</v>
      </c>
      <c r="M123" s="1">
        <v>0</v>
      </c>
    </row>
    <row r="124" spans="1:13" x14ac:dyDescent="0.3">
      <c r="A124" t="s">
        <v>161</v>
      </c>
      <c r="B124" t="s">
        <v>14</v>
      </c>
      <c r="C124" t="s">
        <v>15</v>
      </c>
      <c r="D124" t="s">
        <v>156</v>
      </c>
      <c r="E124">
        <v>4</v>
      </c>
      <c r="F124" t="s">
        <v>26</v>
      </c>
      <c r="G124" s="1">
        <v>0</v>
      </c>
      <c r="H124" s="1">
        <v>0</v>
      </c>
      <c r="I124" s="1">
        <v>0</v>
      </c>
      <c r="J124" t="s">
        <v>157</v>
      </c>
      <c r="K124" s="1">
        <v>0</v>
      </c>
      <c r="L124" s="1">
        <v>0</v>
      </c>
      <c r="M124" s="1">
        <v>0</v>
      </c>
    </row>
    <row r="125" spans="1:13" x14ac:dyDescent="0.3">
      <c r="A125" t="s">
        <v>162</v>
      </c>
      <c r="B125" t="s">
        <v>14</v>
      </c>
      <c r="C125" t="s">
        <v>15</v>
      </c>
      <c r="D125" t="s">
        <v>156</v>
      </c>
      <c r="E125">
        <v>4</v>
      </c>
      <c r="F125" t="s">
        <v>28</v>
      </c>
      <c r="G125" s="1">
        <v>0</v>
      </c>
      <c r="H125" s="1">
        <v>0</v>
      </c>
      <c r="I125" s="1">
        <v>0</v>
      </c>
      <c r="J125" t="s">
        <v>157</v>
      </c>
      <c r="K125" s="1">
        <v>0</v>
      </c>
      <c r="L125" s="1">
        <v>0</v>
      </c>
      <c r="M125" s="1">
        <v>0</v>
      </c>
    </row>
    <row r="126" spans="1:13" x14ac:dyDescent="0.3">
      <c r="A126" t="s">
        <v>163</v>
      </c>
      <c r="B126" t="s">
        <v>14</v>
      </c>
      <c r="C126" t="s">
        <v>15</v>
      </c>
      <c r="D126" t="s">
        <v>156</v>
      </c>
      <c r="E126">
        <v>4</v>
      </c>
      <c r="F126" t="s">
        <v>30</v>
      </c>
      <c r="G126" s="1">
        <v>0</v>
      </c>
      <c r="H126" s="1">
        <v>0</v>
      </c>
      <c r="I126" s="1">
        <v>0</v>
      </c>
      <c r="J126" t="s">
        <v>157</v>
      </c>
      <c r="K126" s="1">
        <v>0</v>
      </c>
      <c r="L126" s="1">
        <v>0</v>
      </c>
      <c r="M126" s="1">
        <v>0</v>
      </c>
    </row>
    <row r="127" spans="1:13" x14ac:dyDescent="0.3">
      <c r="A127" t="s">
        <v>164</v>
      </c>
      <c r="B127" t="s">
        <v>14</v>
      </c>
      <c r="C127" t="s">
        <v>15</v>
      </c>
      <c r="D127" t="s">
        <v>156</v>
      </c>
      <c r="E127">
        <v>4</v>
      </c>
      <c r="F127" t="s">
        <v>32</v>
      </c>
      <c r="G127" s="1">
        <v>0</v>
      </c>
      <c r="H127" s="1">
        <v>0</v>
      </c>
      <c r="I127" s="1">
        <v>0</v>
      </c>
      <c r="J127" t="s">
        <v>157</v>
      </c>
      <c r="K127" s="1">
        <v>0</v>
      </c>
      <c r="L127" s="1">
        <v>0</v>
      </c>
      <c r="M127" s="1">
        <v>0</v>
      </c>
    </row>
    <row r="128" spans="1:13" x14ac:dyDescent="0.3">
      <c r="A128" t="s">
        <v>165</v>
      </c>
      <c r="B128" t="s">
        <v>14</v>
      </c>
      <c r="C128" t="s">
        <v>15</v>
      </c>
      <c r="D128" t="s">
        <v>156</v>
      </c>
      <c r="E128">
        <v>4</v>
      </c>
      <c r="F128" t="s">
        <v>34</v>
      </c>
      <c r="G128" s="1">
        <v>0</v>
      </c>
      <c r="H128" s="1">
        <v>0</v>
      </c>
      <c r="I128" s="1">
        <v>0</v>
      </c>
      <c r="J128" t="s">
        <v>157</v>
      </c>
      <c r="K128" s="1">
        <v>0</v>
      </c>
      <c r="L128" s="1">
        <v>0</v>
      </c>
      <c r="M128" s="1">
        <v>0</v>
      </c>
    </row>
    <row r="129" spans="1:13" x14ac:dyDescent="0.3">
      <c r="A129" t="s">
        <v>166</v>
      </c>
      <c r="B129" t="s">
        <v>14</v>
      </c>
      <c r="C129" t="s">
        <v>15</v>
      </c>
      <c r="D129" t="s">
        <v>156</v>
      </c>
      <c r="E129">
        <v>4</v>
      </c>
      <c r="F129" t="s">
        <v>36</v>
      </c>
      <c r="G129" s="1">
        <v>0</v>
      </c>
      <c r="H129" s="1">
        <v>0</v>
      </c>
      <c r="I129" s="1">
        <v>0</v>
      </c>
      <c r="J129" t="s">
        <v>157</v>
      </c>
      <c r="K129" s="1">
        <v>0</v>
      </c>
      <c r="L129" s="1">
        <v>0</v>
      </c>
      <c r="M129" s="1">
        <v>0</v>
      </c>
    </row>
    <row r="130" spans="1:13" x14ac:dyDescent="0.3">
      <c r="A130" t="s">
        <v>167</v>
      </c>
      <c r="B130" t="s">
        <v>14</v>
      </c>
      <c r="C130" t="s">
        <v>15</v>
      </c>
      <c r="D130" t="s">
        <v>156</v>
      </c>
      <c r="E130">
        <v>4</v>
      </c>
      <c r="F130" t="s">
        <v>38</v>
      </c>
      <c r="G130" s="1">
        <v>0</v>
      </c>
      <c r="H130" s="1">
        <v>0</v>
      </c>
      <c r="I130" s="1">
        <v>0</v>
      </c>
      <c r="J130" t="s">
        <v>157</v>
      </c>
      <c r="K130" s="1">
        <v>0</v>
      </c>
      <c r="L130" s="1">
        <v>0</v>
      </c>
      <c r="M130" s="1">
        <v>0</v>
      </c>
    </row>
    <row r="131" spans="1:13" x14ac:dyDescent="0.3">
      <c r="A131" t="s">
        <v>168</v>
      </c>
      <c r="B131" t="s">
        <v>14</v>
      </c>
      <c r="C131" t="s">
        <v>15</v>
      </c>
      <c r="D131" t="s">
        <v>156</v>
      </c>
      <c r="E131">
        <v>4</v>
      </c>
      <c r="F131" t="s">
        <v>40</v>
      </c>
      <c r="G131" s="1">
        <v>0</v>
      </c>
      <c r="H131" s="1">
        <v>0</v>
      </c>
      <c r="I131" s="1">
        <v>0</v>
      </c>
      <c r="J131" t="s">
        <v>157</v>
      </c>
      <c r="K131" s="1">
        <v>0</v>
      </c>
      <c r="L131" s="1">
        <v>0</v>
      </c>
      <c r="M131" s="1">
        <v>0</v>
      </c>
    </row>
    <row r="132" spans="1:13" x14ac:dyDescent="0.3">
      <c r="A132" t="s">
        <v>169</v>
      </c>
      <c r="B132" t="s">
        <v>14</v>
      </c>
      <c r="C132" t="s">
        <v>15</v>
      </c>
      <c r="D132" t="s">
        <v>156</v>
      </c>
      <c r="E132">
        <v>4</v>
      </c>
      <c r="F132" t="s">
        <v>64</v>
      </c>
      <c r="G132" s="1">
        <v>0</v>
      </c>
      <c r="H132" s="1">
        <v>0</v>
      </c>
      <c r="I132" s="1">
        <v>0</v>
      </c>
      <c r="J132" t="s">
        <v>157</v>
      </c>
      <c r="K132" s="1">
        <v>0</v>
      </c>
      <c r="L132" s="1">
        <v>0</v>
      </c>
      <c r="M132" s="1">
        <v>0</v>
      </c>
    </row>
    <row r="133" spans="1:13" x14ac:dyDescent="0.3">
      <c r="A133" t="s">
        <v>170</v>
      </c>
      <c r="B133" t="s">
        <v>14</v>
      </c>
      <c r="C133" t="s">
        <v>15</v>
      </c>
      <c r="D133" t="s">
        <v>156</v>
      </c>
      <c r="E133">
        <v>4</v>
      </c>
      <c r="F133" t="s">
        <v>66</v>
      </c>
      <c r="G133" s="1">
        <v>0</v>
      </c>
      <c r="H133" s="1">
        <v>0</v>
      </c>
      <c r="I133" s="1">
        <v>0</v>
      </c>
      <c r="J133" t="s">
        <v>157</v>
      </c>
      <c r="K133" s="1">
        <v>0</v>
      </c>
      <c r="L133" s="1">
        <v>0</v>
      </c>
      <c r="M133" s="1">
        <v>0</v>
      </c>
    </row>
    <row r="134" spans="1:13" x14ac:dyDescent="0.3">
      <c r="A134" t="s">
        <v>171</v>
      </c>
      <c r="B134" t="s">
        <v>14</v>
      </c>
      <c r="C134" t="s">
        <v>15</v>
      </c>
      <c r="D134" t="s">
        <v>156</v>
      </c>
      <c r="E134">
        <v>4</v>
      </c>
      <c r="F134" t="s">
        <v>68</v>
      </c>
      <c r="G134" s="1">
        <v>0</v>
      </c>
      <c r="H134" s="1">
        <v>0</v>
      </c>
      <c r="I134" s="1">
        <v>0</v>
      </c>
      <c r="J134" t="s">
        <v>157</v>
      </c>
      <c r="K134" s="1">
        <v>0</v>
      </c>
      <c r="L134" s="1">
        <v>0</v>
      </c>
      <c r="M134" s="1">
        <v>0</v>
      </c>
    </row>
    <row r="135" spans="1:13" x14ac:dyDescent="0.3">
      <c r="A135" t="s">
        <v>172</v>
      </c>
      <c r="B135" t="s">
        <v>14</v>
      </c>
      <c r="C135" t="s">
        <v>15</v>
      </c>
      <c r="D135" t="s">
        <v>156</v>
      </c>
      <c r="E135">
        <v>4</v>
      </c>
      <c r="F135" t="s">
        <v>70</v>
      </c>
      <c r="G135" s="1">
        <v>0</v>
      </c>
      <c r="H135" s="1">
        <v>0</v>
      </c>
      <c r="I135" s="1">
        <v>0</v>
      </c>
      <c r="J135" t="s">
        <v>157</v>
      </c>
      <c r="K135" s="1">
        <v>0</v>
      </c>
      <c r="L135" s="1">
        <v>0</v>
      </c>
      <c r="M135" s="1">
        <v>0</v>
      </c>
    </row>
    <row r="136" spans="1:13" x14ac:dyDescent="0.3">
      <c r="A136" t="s">
        <v>173</v>
      </c>
      <c r="B136" t="s">
        <v>14</v>
      </c>
      <c r="C136" t="s">
        <v>15</v>
      </c>
      <c r="D136" t="s">
        <v>156</v>
      </c>
      <c r="E136">
        <v>4</v>
      </c>
      <c r="F136" t="s">
        <v>72</v>
      </c>
      <c r="G136" s="1">
        <v>0</v>
      </c>
      <c r="H136" s="1">
        <v>0</v>
      </c>
      <c r="I136" s="1">
        <v>0</v>
      </c>
      <c r="J136" t="s">
        <v>157</v>
      </c>
      <c r="K136" s="1">
        <v>0</v>
      </c>
      <c r="L136" s="1">
        <v>0</v>
      </c>
      <c r="M136" s="1">
        <v>0</v>
      </c>
    </row>
    <row r="137" spans="1:13" x14ac:dyDescent="0.3">
      <c r="A137" t="s">
        <v>174</v>
      </c>
      <c r="B137" t="s">
        <v>14</v>
      </c>
      <c r="C137" t="s">
        <v>15</v>
      </c>
      <c r="D137" t="s">
        <v>156</v>
      </c>
      <c r="E137">
        <v>4</v>
      </c>
      <c r="F137" t="s">
        <v>74</v>
      </c>
      <c r="G137" s="1">
        <v>0</v>
      </c>
      <c r="H137" s="1">
        <v>0</v>
      </c>
      <c r="I137" s="1">
        <v>0</v>
      </c>
      <c r="J137" t="s">
        <v>157</v>
      </c>
      <c r="K137" s="1">
        <v>0</v>
      </c>
      <c r="L137" s="1">
        <v>0</v>
      </c>
      <c r="M137" s="1">
        <v>0</v>
      </c>
    </row>
    <row r="138" spans="1:13" x14ac:dyDescent="0.3">
      <c r="A138" t="s">
        <v>175</v>
      </c>
      <c r="B138" t="s">
        <v>14</v>
      </c>
      <c r="C138" t="s">
        <v>15</v>
      </c>
      <c r="D138" t="s">
        <v>156</v>
      </c>
      <c r="E138">
        <v>4</v>
      </c>
      <c r="F138" t="s">
        <v>76</v>
      </c>
      <c r="G138" s="1">
        <v>0</v>
      </c>
      <c r="H138" s="1">
        <v>0</v>
      </c>
      <c r="I138" s="1">
        <v>0</v>
      </c>
      <c r="J138" t="s">
        <v>157</v>
      </c>
      <c r="K138" s="1">
        <v>0</v>
      </c>
      <c r="L138" s="1">
        <v>0</v>
      </c>
      <c r="M138" s="1">
        <v>0</v>
      </c>
    </row>
    <row r="139" spans="1:13" x14ac:dyDescent="0.3">
      <c r="A139" t="s">
        <v>176</v>
      </c>
      <c r="B139" t="s">
        <v>14</v>
      </c>
      <c r="C139" t="s">
        <v>15</v>
      </c>
      <c r="D139" t="s">
        <v>156</v>
      </c>
      <c r="E139">
        <v>4</v>
      </c>
      <c r="F139" t="s">
        <v>78</v>
      </c>
      <c r="G139" s="1">
        <v>0</v>
      </c>
      <c r="H139" s="1">
        <v>0</v>
      </c>
      <c r="I139" s="1">
        <v>0</v>
      </c>
      <c r="J139" t="s">
        <v>157</v>
      </c>
      <c r="K139" s="1">
        <v>0</v>
      </c>
      <c r="L139" s="1">
        <v>0</v>
      </c>
      <c r="M139" s="1">
        <v>0</v>
      </c>
    </row>
    <row r="140" spans="1:13" x14ac:dyDescent="0.3">
      <c r="A140" t="s">
        <v>177</v>
      </c>
      <c r="B140" t="s">
        <v>14</v>
      </c>
      <c r="C140" t="s">
        <v>15</v>
      </c>
      <c r="D140" t="s">
        <v>156</v>
      </c>
      <c r="E140">
        <v>4</v>
      </c>
      <c r="F140" t="s">
        <v>80</v>
      </c>
      <c r="G140" s="1">
        <v>0</v>
      </c>
      <c r="H140" s="1">
        <v>0</v>
      </c>
      <c r="I140" s="1">
        <v>0</v>
      </c>
      <c r="J140" t="s">
        <v>157</v>
      </c>
      <c r="K140" s="1">
        <v>0</v>
      </c>
      <c r="L140" s="1">
        <v>0</v>
      </c>
      <c r="M140" s="1">
        <v>0</v>
      </c>
    </row>
    <row r="141" spans="1:13" x14ac:dyDescent="0.3">
      <c r="A141" t="s">
        <v>178</v>
      </c>
      <c r="B141" t="s">
        <v>14</v>
      </c>
      <c r="C141" t="s">
        <v>15</v>
      </c>
      <c r="D141" t="s">
        <v>156</v>
      </c>
      <c r="E141">
        <v>4</v>
      </c>
      <c r="F141" t="s">
        <v>82</v>
      </c>
      <c r="G141" s="1">
        <v>0</v>
      </c>
      <c r="H141" s="1">
        <v>0</v>
      </c>
      <c r="I141" s="1">
        <v>0</v>
      </c>
      <c r="J141" t="s">
        <v>157</v>
      </c>
      <c r="K141" s="1">
        <v>0</v>
      </c>
      <c r="L141" s="1">
        <v>0</v>
      </c>
      <c r="M141" s="1">
        <v>0</v>
      </c>
    </row>
    <row r="142" spans="1:13" x14ac:dyDescent="0.3">
      <c r="A142" t="s">
        <v>179</v>
      </c>
      <c r="B142" t="s">
        <v>14</v>
      </c>
      <c r="C142" t="s">
        <v>15</v>
      </c>
      <c r="D142" t="s">
        <v>156</v>
      </c>
      <c r="E142">
        <v>4</v>
      </c>
      <c r="F142" t="s">
        <v>84</v>
      </c>
      <c r="G142" s="1">
        <v>0</v>
      </c>
      <c r="H142" s="1">
        <v>0</v>
      </c>
      <c r="I142" s="1">
        <v>0</v>
      </c>
      <c r="J142" t="s">
        <v>157</v>
      </c>
      <c r="K142" s="1">
        <v>0</v>
      </c>
      <c r="L142" s="1">
        <v>0</v>
      </c>
      <c r="M142" s="1">
        <v>0</v>
      </c>
    </row>
    <row r="143" spans="1:13" x14ac:dyDescent="0.3">
      <c r="A143" t="s">
        <v>180</v>
      </c>
      <c r="B143" t="s">
        <v>14</v>
      </c>
      <c r="C143" t="s">
        <v>15</v>
      </c>
      <c r="D143" t="s">
        <v>156</v>
      </c>
      <c r="E143">
        <v>4</v>
      </c>
      <c r="F143" t="s">
        <v>181</v>
      </c>
      <c r="G143" s="1">
        <v>0</v>
      </c>
      <c r="H143" s="1">
        <v>0</v>
      </c>
      <c r="I143" s="1">
        <v>0</v>
      </c>
      <c r="J143" t="s">
        <v>157</v>
      </c>
      <c r="K143" s="1">
        <v>0</v>
      </c>
      <c r="L143" s="1">
        <v>0</v>
      </c>
      <c r="M143" s="1">
        <v>0</v>
      </c>
    </row>
    <row r="144" spans="1:13" x14ac:dyDescent="0.3">
      <c r="A144" t="s">
        <v>182</v>
      </c>
      <c r="B144" t="s">
        <v>14</v>
      </c>
      <c r="C144" t="s">
        <v>15</v>
      </c>
      <c r="D144" t="s">
        <v>156</v>
      </c>
      <c r="E144">
        <v>4</v>
      </c>
      <c r="F144" t="s">
        <v>183</v>
      </c>
      <c r="G144" s="1">
        <v>0</v>
      </c>
      <c r="H144" s="1">
        <v>0</v>
      </c>
      <c r="I144" s="1">
        <v>0</v>
      </c>
      <c r="J144" t="s">
        <v>157</v>
      </c>
      <c r="K144" s="1">
        <v>0</v>
      </c>
      <c r="L144" s="1">
        <v>0</v>
      </c>
      <c r="M144" s="1">
        <v>0</v>
      </c>
    </row>
    <row r="145" spans="1:13" x14ac:dyDescent="0.3">
      <c r="A145" t="s">
        <v>184</v>
      </c>
      <c r="B145" t="s">
        <v>14</v>
      </c>
      <c r="C145" t="s">
        <v>15</v>
      </c>
      <c r="D145" t="s">
        <v>156</v>
      </c>
      <c r="E145">
        <v>4</v>
      </c>
      <c r="F145" t="s">
        <v>185</v>
      </c>
      <c r="G145" s="1">
        <v>0</v>
      </c>
      <c r="H145" s="1">
        <v>0</v>
      </c>
      <c r="I145" s="1">
        <v>0</v>
      </c>
      <c r="J145" t="s">
        <v>157</v>
      </c>
      <c r="K145" s="1">
        <v>0</v>
      </c>
      <c r="L145" s="1">
        <v>0</v>
      </c>
      <c r="M145" s="1">
        <v>0</v>
      </c>
    </row>
    <row r="146" spans="1:13" x14ac:dyDescent="0.3">
      <c r="A146" t="s">
        <v>186</v>
      </c>
      <c r="B146" t="s">
        <v>14</v>
      </c>
      <c r="C146" t="s">
        <v>15</v>
      </c>
      <c r="D146" t="s">
        <v>156</v>
      </c>
      <c r="E146">
        <v>4</v>
      </c>
      <c r="F146" t="s">
        <v>187</v>
      </c>
      <c r="G146" s="1">
        <v>0</v>
      </c>
      <c r="H146" s="1">
        <v>0</v>
      </c>
      <c r="I146" s="1">
        <v>0</v>
      </c>
      <c r="J146" t="s">
        <v>157</v>
      </c>
      <c r="K146" s="1">
        <v>0</v>
      </c>
      <c r="L146" s="1">
        <v>0</v>
      </c>
      <c r="M146" s="1">
        <v>0</v>
      </c>
    </row>
    <row r="147" spans="1:13" x14ac:dyDescent="0.3">
      <c r="A147" t="s">
        <v>188</v>
      </c>
      <c r="B147" t="s">
        <v>14</v>
      </c>
      <c r="C147" t="s">
        <v>15</v>
      </c>
      <c r="D147" t="s">
        <v>156</v>
      </c>
      <c r="E147">
        <v>4</v>
      </c>
      <c r="F147" t="s">
        <v>189</v>
      </c>
      <c r="G147" s="1">
        <v>0</v>
      </c>
      <c r="H147" s="1">
        <v>0</v>
      </c>
      <c r="I147" s="1">
        <v>0</v>
      </c>
      <c r="J147" t="s">
        <v>157</v>
      </c>
      <c r="K147" s="1">
        <v>0</v>
      </c>
      <c r="L147" s="1">
        <v>0</v>
      </c>
      <c r="M147" s="1">
        <v>0</v>
      </c>
    </row>
    <row r="148" spans="1:13" x14ac:dyDescent="0.3">
      <c r="A148" t="s">
        <v>190</v>
      </c>
      <c r="B148" t="s">
        <v>14</v>
      </c>
      <c r="C148" t="s">
        <v>15</v>
      </c>
      <c r="D148" t="s">
        <v>156</v>
      </c>
      <c r="E148">
        <v>4</v>
      </c>
      <c r="F148" t="s">
        <v>191</v>
      </c>
      <c r="G148" s="1">
        <v>0</v>
      </c>
      <c r="H148" s="1">
        <v>0</v>
      </c>
      <c r="I148" s="1">
        <v>0</v>
      </c>
      <c r="J148" t="s">
        <v>157</v>
      </c>
      <c r="K148" s="1">
        <v>0</v>
      </c>
      <c r="L148" s="1">
        <v>0</v>
      </c>
      <c r="M148" s="1">
        <v>0</v>
      </c>
    </row>
    <row r="149" spans="1:13" x14ac:dyDescent="0.3">
      <c r="A149" t="s">
        <v>192</v>
      </c>
      <c r="B149" t="s">
        <v>14</v>
      </c>
      <c r="C149" t="s">
        <v>15</v>
      </c>
      <c r="D149" t="s">
        <v>156</v>
      </c>
      <c r="E149">
        <v>4</v>
      </c>
      <c r="F149" t="s">
        <v>193</v>
      </c>
      <c r="G149" s="1">
        <v>0</v>
      </c>
      <c r="H149" s="1">
        <v>0</v>
      </c>
      <c r="I149" s="1">
        <v>0</v>
      </c>
      <c r="J149" t="s">
        <v>157</v>
      </c>
      <c r="K149" s="1">
        <v>0</v>
      </c>
      <c r="L149" s="1">
        <v>0</v>
      </c>
      <c r="M149" s="1">
        <v>0</v>
      </c>
    </row>
    <row r="150" spans="1:13" x14ac:dyDescent="0.3">
      <c r="A150" t="s">
        <v>194</v>
      </c>
      <c r="B150" t="s">
        <v>14</v>
      </c>
      <c r="C150" t="s">
        <v>15</v>
      </c>
      <c r="D150" t="s">
        <v>156</v>
      </c>
      <c r="E150">
        <v>4</v>
      </c>
      <c r="F150" t="s">
        <v>195</v>
      </c>
      <c r="G150" s="1">
        <v>0</v>
      </c>
      <c r="H150" s="1">
        <v>0</v>
      </c>
      <c r="I150" s="1">
        <v>0</v>
      </c>
      <c r="J150" t="s">
        <v>157</v>
      </c>
      <c r="K150" s="1">
        <v>0</v>
      </c>
      <c r="L150" s="1">
        <v>0</v>
      </c>
      <c r="M150" s="1">
        <v>0</v>
      </c>
    </row>
    <row r="151" spans="1:13" x14ac:dyDescent="0.3">
      <c r="A151" t="s">
        <v>196</v>
      </c>
      <c r="B151" t="s">
        <v>14</v>
      </c>
      <c r="C151" t="s">
        <v>15</v>
      </c>
      <c r="D151" t="s">
        <v>156</v>
      </c>
      <c r="E151">
        <v>4</v>
      </c>
      <c r="F151" t="s">
        <v>197</v>
      </c>
      <c r="G151" s="1">
        <v>0</v>
      </c>
      <c r="H151" s="1">
        <v>0</v>
      </c>
      <c r="I151" s="1">
        <v>0</v>
      </c>
      <c r="J151" t="s">
        <v>157</v>
      </c>
      <c r="K151" s="1">
        <v>0</v>
      </c>
      <c r="L151" s="1">
        <v>0</v>
      </c>
      <c r="M151" s="1">
        <v>0</v>
      </c>
    </row>
    <row r="152" spans="1:13" x14ac:dyDescent="0.3">
      <c r="A152" t="s">
        <v>198</v>
      </c>
      <c r="B152" t="s">
        <v>14</v>
      </c>
      <c r="C152" t="s">
        <v>15</v>
      </c>
      <c r="D152" t="s">
        <v>156</v>
      </c>
      <c r="E152">
        <v>4</v>
      </c>
      <c r="F152" t="s">
        <v>199</v>
      </c>
      <c r="G152" s="1">
        <v>0</v>
      </c>
      <c r="H152" s="1">
        <v>0</v>
      </c>
      <c r="I152" s="1">
        <v>0</v>
      </c>
      <c r="J152" t="s">
        <v>157</v>
      </c>
      <c r="K152" s="1">
        <v>0</v>
      </c>
      <c r="L152" s="1">
        <v>0</v>
      </c>
      <c r="M152" s="1">
        <v>0</v>
      </c>
    </row>
    <row r="153" spans="1:13" x14ac:dyDescent="0.3">
      <c r="A153" t="s">
        <v>200</v>
      </c>
      <c r="B153" t="s">
        <v>14</v>
      </c>
      <c r="C153" t="s">
        <v>15</v>
      </c>
      <c r="D153" t="s">
        <v>156</v>
      </c>
      <c r="E153">
        <v>4</v>
      </c>
      <c r="F153" t="s">
        <v>201</v>
      </c>
      <c r="G153" s="1">
        <v>0</v>
      </c>
      <c r="H153" s="1">
        <v>0</v>
      </c>
      <c r="I153" s="1">
        <v>0</v>
      </c>
      <c r="J153" t="s">
        <v>157</v>
      </c>
      <c r="K153" s="1">
        <v>0</v>
      </c>
      <c r="L153" s="1">
        <v>0</v>
      </c>
      <c r="M153" s="1">
        <v>0</v>
      </c>
    </row>
    <row r="154" spans="1:13" x14ac:dyDescent="0.3">
      <c r="A154" t="s">
        <v>202</v>
      </c>
      <c r="B154" t="s">
        <v>14</v>
      </c>
      <c r="C154" t="s">
        <v>15</v>
      </c>
      <c r="D154" t="s">
        <v>156</v>
      </c>
      <c r="E154">
        <v>4</v>
      </c>
      <c r="F154" t="s">
        <v>203</v>
      </c>
      <c r="G154" s="1">
        <v>0</v>
      </c>
      <c r="H154" s="1">
        <v>0</v>
      </c>
      <c r="I154" s="1">
        <v>0</v>
      </c>
      <c r="J154" t="s">
        <v>157</v>
      </c>
      <c r="K154" s="1">
        <v>0</v>
      </c>
      <c r="L154" s="1">
        <v>0</v>
      </c>
      <c r="M154" s="1">
        <v>0</v>
      </c>
    </row>
    <row r="155" spans="1:13" x14ac:dyDescent="0.3">
      <c r="A155" t="s">
        <v>204</v>
      </c>
      <c r="B155" t="s">
        <v>14</v>
      </c>
      <c r="C155" t="s">
        <v>15</v>
      </c>
      <c r="D155" t="s">
        <v>156</v>
      </c>
      <c r="E155">
        <v>4</v>
      </c>
      <c r="F155" t="s">
        <v>205</v>
      </c>
      <c r="G155" s="1">
        <v>0</v>
      </c>
      <c r="H155" s="1">
        <v>0</v>
      </c>
      <c r="I155" s="1">
        <v>0</v>
      </c>
      <c r="J155" t="s">
        <v>157</v>
      </c>
      <c r="K155" s="1">
        <v>0</v>
      </c>
      <c r="L155" s="1">
        <v>0</v>
      </c>
      <c r="M155" s="1">
        <v>0</v>
      </c>
    </row>
    <row r="156" spans="1:13" x14ac:dyDescent="0.3">
      <c r="A156" t="s">
        <v>206</v>
      </c>
      <c r="B156" t="s">
        <v>14</v>
      </c>
      <c r="C156" t="s">
        <v>15</v>
      </c>
      <c r="D156" t="s">
        <v>156</v>
      </c>
      <c r="E156">
        <v>4</v>
      </c>
      <c r="F156" t="s">
        <v>207</v>
      </c>
      <c r="G156" s="1">
        <v>0</v>
      </c>
      <c r="H156" s="1">
        <v>0</v>
      </c>
      <c r="I156" s="1">
        <v>0</v>
      </c>
      <c r="J156" t="s">
        <v>157</v>
      </c>
      <c r="K156" s="1">
        <v>0</v>
      </c>
      <c r="L156" s="1">
        <v>0</v>
      </c>
      <c r="M156" s="1">
        <v>0</v>
      </c>
    </row>
    <row r="157" spans="1:13" x14ac:dyDescent="0.3">
      <c r="A157" t="s">
        <v>208</v>
      </c>
      <c r="B157" t="s">
        <v>14</v>
      </c>
      <c r="C157" t="s">
        <v>15</v>
      </c>
      <c r="D157" t="s">
        <v>156</v>
      </c>
      <c r="E157">
        <v>4</v>
      </c>
      <c r="F157" t="s">
        <v>209</v>
      </c>
      <c r="G157" s="1">
        <v>0</v>
      </c>
      <c r="H157" s="1">
        <v>0</v>
      </c>
      <c r="I157" s="1">
        <v>0</v>
      </c>
      <c r="J157" t="s">
        <v>157</v>
      </c>
      <c r="K157" s="1">
        <v>0</v>
      </c>
      <c r="L157" s="1">
        <v>0</v>
      </c>
      <c r="M157" s="1">
        <v>0</v>
      </c>
    </row>
    <row r="158" spans="1:13" x14ac:dyDescent="0.3">
      <c r="A158" t="s">
        <v>210</v>
      </c>
      <c r="B158" t="s">
        <v>14</v>
      </c>
      <c r="C158" t="s">
        <v>15</v>
      </c>
      <c r="D158" t="s">
        <v>156</v>
      </c>
      <c r="E158">
        <v>4</v>
      </c>
      <c r="F158" t="s">
        <v>211</v>
      </c>
      <c r="G158" s="1">
        <v>0</v>
      </c>
      <c r="H158" s="1">
        <v>0</v>
      </c>
      <c r="I158" s="1">
        <v>0</v>
      </c>
      <c r="J158" t="s">
        <v>157</v>
      </c>
      <c r="K158" s="1">
        <v>0</v>
      </c>
      <c r="L158" s="1">
        <v>0</v>
      </c>
      <c r="M158" s="1">
        <v>0</v>
      </c>
    </row>
    <row r="159" spans="1:13" x14ac:dyDescent="0.3">
      <c r="A159" t="s">
        <v>212</v>
      </c>
      <c r="B159" t="s">
        <v>14</v>
      </c>
      <c r="C159" t="s">
        <v>15</v>
      </c>
      <c r="D159" t="s">
        <v>156</v>
      </c>
      <c r="E159">
        <v>4</v>
      </c>
      <c r="F159" t="s">
        <v>213</v>
      </c>
      <c r="G159" s="1">
        <v>0</v>
      </c>
      <c r="H159" s="1">
        <v>0</v>
      </c>
      <c r="I159" s="1">
        <v>0</v>
      </c>
      <c r="J159" t="s">
        <v>157</v>
      </c>
      <c r="K159" s="1">
        <v>0</v>
      </c>
      <c r="L159" s="1">
        <v>0</v>
      </c>
      <c r="M159" s="1">
        <v>0</v>
      </c>
    </row>
    <row r="160" spans="1:13" x14ac:dyDescent="0.3">
      <c r="A160" t="s">
        <v>214</v>
      </c>
      <c r="B160" t="s">
        <v>14</v>
      </c>
      <c r="C160" t="s">
        <v>15</v>
      </c>
      <c r="D160" t="s">
        <v>156</v>
      </c>
      <c r="E160">
        <v>4</v>
      </c>
      <c r="F160" t="s">
        <v>215</v>
      </c>
      <c r="G160" s="1">
        <v>0</v>
      </c>
      <c r="H160" s="1">
        <v>0</v>
      </c>
      <c r="I160" s="1">
        <v>0</v>
      </c>
      <c r="J160" t="s">
        <v>157</v>
      </c>
      <c r="K160" s="1">
        <v>0</v>
      </c>
      <c r="L160" s="1">
        <v>0</v>
      </c>
      <c r="M160" s="1">
        <v>0</v>
      </c>
    </row>
    <row r="161" spans="1:13" x14ac:dyDescent="0.3">
      <c r="A161" t="s">
        <v>216</v>
      </c>
      <c r="B161" t="s">
        <v>14</v>
      </c>
      <c r="C161" t="s">
        <v>15</v>
      </c>
      <c r="D161" t="s">
        <v>156</v>
      </c>
      <c r="E161">
        <v>4</v>
      </c>
      <c r="F161" t="s">
        <v>217</v>
      </c>
      <c r="G161" s="1">
        <v>0</v>
      </c>
      <c r="H161" s="1">
        <v>0</v>
      </c>
      <c r="I161" s="1">
        <v>0</v>
      </c>
      <c r="J161" t="s">
        <v>157</v>
      </c>
      <c r="K161" s="1">
        <v>0</v>
      </c>
      <c r="L161" s="1">
        <v>0</v>
      </c>
      <c r="M161" s="1">
        <v>0</v>
      </c>
    </row>
    <row r="162" spans="1:13" x14ac:dyDescent="0.3">
      <c r="A162" t="s">
        <v>218</v>
      </c>
      <c r="B162" t="s">
        <v>14</v>
      </c>
      <c r="C162" t="s">
        <v>15</v>
      </c>
      <c r="D162" t="s">
        <v>156</v>
      </c>
      <c r="E162">
        <v>4</v>
      </c>
      <c r="F162" t="s">
        <v>219</v>
      </c>
      <c r="G162" s="1">
        <v>0</v>
      </c>
      <c r="H162" s="1">
        <v>0</v>
      </c>
      <c r="I162" s="1">
        <v>0</v>
      </c>
      <c r="J162" t="s">
        <v>157</v>
      </c>
      <c r="K162" s="1">
        <v>0</v>
      </c>
      <c r="L162" s="1">
        <v>0</v>
      </c>
      <c r="M162" s="1">
        <v>0</v>
      </c>
    </row>
    <row r="163" spans="1:13" x14ac:dyDescent="0.3">
      <c r="A163" t="s">
        <v>220</v>
      </c>
      <c r="B163" t="s">
        <v>14</v>
      </c>
      <c r="C163" t="s">
        <v>15</v>
      </c>
      <c r="D163" t="s">
        <v>156</v>
      </c>
      <c r="E163">
        <v>4</v>
      </c>
      <c r="F163" t="s">
        <v>221</v>
      </c>
      <c r="G163" s="1">
        <v>0</v>
      </c>
      <c r="H163" s="1">
        <v>0</v>
      </c>
      <c r="I163" s="1">
        <v>0</v>
      </c>
      <c r="J163" t="s">
        <v>157</v>
      </c>
      <c r="K163" s="1">
        <v>0</v>
      </c>
      <c r="L163" s="1">
        <v>0</v>
      </c>
      <c r="M163" s="1">
        <v>0</v>
      </c>
    </row>
    <row r="164" spans="1:13" x14ac:dyDescent="0.3">
      <c r="A164" t="s">
        <v>222</v>
      </c>
      <c r="B164" t="s">
        <v>14</v>
      </c>
      <c r="C164" t="s">
        <v>15</v>
      </c>
      <c r="D164" t="s">
        <v>156</v>
      </c>
      <c r="E164">
        <v>4</v>
      </c>
      <c r="F164" t="s">
        <v>223</v>
      </c>
      <c r="G164" s="1">
        <v>0</v>
      </c>
      <c r="H164" s="1">
        <v>0</v>
      </c>
      <c r="I164" s="1">
        <v>0</v>
      </c>
      <c r="J164" t="s">
        <v>157</v>
      </c>
      <c r="K164" s="1">
        <v>0</v>
      </c>
      <c r="L164" s="1">
        <v>0</v>
      </c>
      <c r="M164" s="1">
        <v>0</v>
      </c>
    </row>
    <row r="165" spans="1:13" x14ac:dyDescent="0.3">
      <c r="A165" t="s">
        <v>224</v>
      </c>
      <c r="B165" t="s">
        <v>225</v>
      </c>
      <c r="C165" t="s">
        <v>226</v>
      </c>
      <c r="D165" t="s">
        <v>227</v>
      </c>
      <c r="E165">
        <v>2</v>
      </c>
      <c r="F165" t="s">
        <v>17</v>
      </c>
      <c r="G165" s="1">
        <v>1</v>
      </c>
      <c r="H165" s="1">
        <v>1</v>
      </c>
      <c r="I165" s="1">
        <v>1</v>
      </c>
      <c r="J165" t="s">
        <v>44</v>
      </c>
      <c r="K165" s="1">
        <v>1</v>
      </c>
      <c r="L165" s="1">
        <v>1</v>
      </c>
      <c r="M165" s="1">
        <v>1</v>
      </c>
    </row>
    <row r="166" spans="1:13" x14ac:dyDescent="0.3">
      <c r="A166" t="s">
        <v>228</v>
      </c>
      <c r="B166" t="s">
        <v>225</v>
      </c>
      <c r="C166" t="s">
        <v>226</v>
      </c>
      <c r="D166" t="s">
        <v>227</v>
      </c>
      <c r="E166">
        <v>2</v>
      </c>
      <c r="F166" t="s">
        <v>20</v>
      </c>
      <c r="G166" s="1">
        <v>1</v>
      </c>
      <c r="H166" s="1">
        <v>1</v>
      </c>
      <c r="I166" s="1">
        <v>1</v>
      </c>
      <c r="J166" t="s">
        <v>44</v>
      </c>
      <c r="K166" s="1">
        <v>1</v>
      </c>
      <c r="L166" s="1">
        <v>1</v>
      </c>
      <c r="M166" s="1">
        <v>1</v>
      </c>
    </row>
    <row r="167" spans="1:13" x14ac:dyDescent="0.3">
      <c r="A167" t="s">
        <v>229</v>
      </c>
      <c r="B167" t="s">
        <v>225</v>
      </c>
      <c r="C167" t="s">
        <v>226</v>
      </c>
      <c r="D167" t="s">
        <v>227</v>
      </c>
      <c r="E167">
        <v>2</v>
      </c>
      <c r="F167" t="s">
        <v>22</v>
      </c>
      <c r="G167" s="1">
        <v>1</v>
      </c>
      <c r="H167" s="1">
        <v>1</v>
      </c>
      <c r="I167" s="1">
        <v>1</v>
      </c>
      <c r="J167" t="s">
        <v>44</v>
      </c>
      <c r="K167" s="1">
        <v>1</v>
      </c>
      <c r="L167" s="1">
        <v>1</v>
      </c>
      <c r="M167" s="1">
        <v>1</v>
      </c>
    </row>
    <row r="168" spans="1:13" x14ac:dyDescent="0.3">
      <c r="A168" t="s">
        <v>230</v>
      </c>
      <c r="B168" t="s">
        <v>225</v>
      </c>
      <c r="C168" t="s">
        <v>226</v>
      </c>
      <c r="D168" t="s">
        <v>227</v>
      </c>
      <c r="E168">
        <v>2</v>
      </c>
      <c r="F168" t="s">
        <v>24</v>
      </c>
      <c r="G168" s="1">
        <v>1</v>
      </c>
      <c r="H168" s="1">
        <v>1</v>
      </c>
      <c r="I168" s="1">
        <v>1</v>
      </c>
      <c r="J168" t="s">
        <v>44</v>
      </c>
      <c r="K168" s="1">
        <v>1</v>
      </c>
      <c r="L168" s="1">
        <v>1</v>
      </c>
      <c r="M168" s="1">
        <v>1</v>
      </c>
    </row>
    <row r="169" spans="1:13" x14ac:dyDescent="0.3">
      <c r="A169" t="s">
        <v>231</v>
      </c>
      <c r="B169" t="s">
        <v>225</v>
      </c>
      <c r="C169" t="s">
        <v>226</v>
      </c>
      <c r="D169" t="s">
        <v>227</v>
      </c>
      <c r="E169">
        <v>2</v>
      </c>
      <c r="F169" t="s">
        <v>26</v>
      </c>
      <c r="G169" s="1">
        <v>1</v>
      </c>
      <c r="H169" s="1">
        <v>1</v>
      </c>
      <c r="I169" s="1">
        <v>1</v>
      </c>
      <c r="J169" t="s">
        <v>44</v>
      </c>
      <c r="K169" s="1">
        <v>1</v>
      </c>
      <c r="L169" s="1">
        <v>1</v>
      </c>
      <c r="M169" s="1">
        <v>1</v>
      </c>
    </row>
    <row r="170" spans="1:13" x14ac:dyDescent="0.3">
      <c r="A170" t="s">
        <v>232</v>
      </c>
      <c r="B170" t="s">
        <v>225</v>
      </c>
      <c r="C170" t="s">
        <v>226</v>
      </c>
      <c r="D170" t="s">
        <v>227</v>
      </c>
      <c r="E170">
        <v>2</v>
      </c>
      <c r="F170" t="s">
        <v>28</v>
      </c>
      <c r="G170" s="1">
        <v>1</v>
      </c>
      <c r="H170" s="1">
        <v>1</v>
      </c>
      <c r="I170" s="1">
        <v>1</v>
      </c>
      <c r="J170" t="s">
        <v>44</v>
      </c>
      <c r="K170" s="1">
        <v>1</v>
      </c>
      <c r="L170" s="1">
        <v>1</v>
      </c>
      <c r="M170" s="1">
        <v>1</v>
      </c>
    </row>
    <row r="171" spans="1:13" x14ac:dyDescent="0.3">
      <c r="A171" t="s">
        <v>233</v>
      </c>
      <c r="B171" t="s">
        <v>225</v>
      </c>
      <c r="C171" t="s">
        <v>226</v>
      </c>
      <c r="D171" t="s">
        <v>227</v>
      </c>
      <c r="E171">
        <v>2</v>
      </c>
      <c r="F171" t="s">
        <v>30</v>
      </c>
      <c r="G171" s="1">
        <v>1</v>
      </c>
      <c r="H171" s="1">
        <v>1</v>
      </c>
      <c r="I171" s="1">
        <v>1</v>
      </c>
      <c r="J171" t="s">
        <v>44</v>
      </c>
      <c r="K171" s="1">
        <v>1</v>
      </c>
      <c r="L171" s="1">
        <v>1</v>
      </c>
      <c r="M171" s="1">
        <v>1</v>
      </c>
    </row>
    <row r="172" spans="1:13" x14ac:dyDescent="0.3">
      <c r="A172" t="s">
        <v>234</v>
      </c>
      <c r="B172" t="s">
        <v>225</v>
      </c>
      <c r="C172" t="s">
        <v>226</v>
      </c>
      <c r="D172" t="s">
        <v>227</v>
      </c>
      <c r="E172">
        <v>2</v>
      </c>
      <c r="F172" t="s">
        <v>32</v>
      </c>
      <c r="G172" s="1">
        <v>1</v>
      </c>
      <c r="H172" s="1">
        <v>1</v>
      </c>
      <c r="I172" s="1">
        <v>1</v>
      </c>
      <c r="J172" t="s">
        <v>44</v>
      </c>
      <c r="K172" s="1">
        <v>1</v>
      </c>
      <c r="L172" s="1">
        <v>1</v>
      </c>
      <c r="M172" s="1">
        <v>1</v>
      </c>
    </row>
    <row r="173" spans="1:13" x14ac:dyDescent="0.3">
      <c r="A173" t="s">
        <v>235</v>
      </c>
      <c r="B173" t="s">
        <v>225</v>
      </c>
      <c r="C173" t="s">
        <v>226</v>
      </c>
      <c r="D173" t="s">
        <v>227</v>
      </c>
      <c r="E173">
        <v>2</v>
      </c>
      <c r="F173" t="s">
        <v>34</v>
      </c>
      <c r="G173" s="1">
        <v>1</v>
      </c>
      <c r="H173" s="1">
        <v>1</v>
      </c>
      <c r="I173" s="1">
        <v>1</v>
      </c>
      <c r="J173" t="s">
        <v>44</v>
      </c>
      <c r="K173" s="1">
        <v>1</v>
      </c>
      <c r="L173" s="1">
        <v>1</v>
      </c>
      <c r="M173" s="1">
        <v>1</v>
      </c>
    </row>
    <row r="174" spans="1:13" x14ac:dyDescent="0.3">
      <c r="A174" t="s">
        <v>236</v>
      </c>
      <c r="B174" t="s">
        <v>225</v>
      </c>
      <c r="C174" t="s">
        <v>226</v>
      </c>
      <c r="D174" t="s">
        <v>227</v>
      </c>
      <c r="E174">
        <v>2</v>
      </c>
      <c r="F174" t="s">
        <v>36</v>
      </c>
      <c r="G174" s="1">
        <v>1</v>
      </c>
      <c r="H174" s="1">
        <v>1</v>
      </c>
      <c r="I174" s="1">
        <v>1</v>
      </c>
      <c r="J174" t="s">
        <v>44</v>
      </c>
      <c r="K174" s="1">
        <v>1</v>
      </c>
      <c r="L174" s="1">
        <v>1</v>
      </c>
      <c r="M174" s="1">
        <v>1</v>
      </c>
    </row>
    <row r="175" spans="1:13" x14ac:dyDescent="0.3">
      <c r="A175" t="s">
        <v>237</v>
      </c>
      <c r="B175" t="s">
        <v>225</v>
      </c>
      <c r="C175" t="s">
        <v>226</v>
      </c>
      <c r="D175" t="s">
        <v>227</v>
      </c>
      <c r="E175">
        <v>2</v>
      </c>
      <c r="F175" t="s">
        <v>38</v>
      </c>
      <c r="G175" s="1">
        <v>1</v>
      </c>
      <c r="H175" s="1">
        <v>1</v>
      </c>
      <c r="I175" s="1">
        <v>1</v>
      </c>
      <c r="J175" t="s">
        <v>44</v>
      </c>
      <c r="K175" s="1">
        <v>1</v>
      </c>
      <c r="L175" s="1">
        <v>1</v>
      </c>
      <c r="M175" s="1">
        <v>1</v>
      </c>
    </row>
    <row r="176" spans="1:13" x14ac:dyDescent="0.3">
      <c r="A176" t="s">
        <v>238</v>
      </c>
      <c r="B176" t="s">
        <v>225</v>
      </c>
      <c r="C176" t="s">
        <v>226</v>
      </c>
      <c r="D176" t="s">
        <v>227</v>
      </c>
      <c r="E176">
        <v>2</v>
      </c>
      <c r="F176" t="s">
        <v>40</v>
      </c>
      <c r="G176" s="1">
        <v>1</v>
      </c>
      <c r="H176" s="1">
        <v>1</v>
      </c>
      <c r="I176" s="1">
        <v>1</v>
      </c>
      <c r="J176" t="s">
        <v>44</v>
      </c>
      <c r="K176" s="1">
        <v>1</v>
      </c>
      <c r="L176" s="1">
        <v>1</v>
      </c>
      <c r="M176" s="1">
        <v>1</v>
      </c>
    </row>
    <row r="177" spans="1:13" x14ac:dyDescent="0.3">
      <c r="A177" t="s">
        <v>239</v>
      </c>
      <c r="B177" t="s">
        <v>225</v>
      </c>
      <c r="C177" t="s">
        <v>226</v>
      </c>
      <c r="D177" t="s">
        <v>227</v>
      </c>
      <c r="E177">
        <v>2</v>
      </c>
      <c r="F177" t="s">
        <v>64</v>
      </c>
      <c r="G177" s="1">
        <v>1</v>
      </c>
      <c r="H177" s="1">
        <v>1</v>
      </c>
      <c r="I177" s="1">
        <v>1</v>
      </c>
      <c r="J177" t="s">
        <v>44</v>
      </c>
      <c r="K177" s="1">
        <v>1</v>
      </c>
      <c r="L177" s="1">
        <v>1</v>
      </c>
      <c r="M177" s="1">
        <v>1</v>
      </c>
    </row>
    <row r="178" spans="1:13" x14ac:dyDescent="0.3">
      <c r="A178" t="s">
        <v>240</v>
      </c>
      <c r="B178" t="s">
        <v>225</v>
      </c>
      <c r="C178" t="s">
        <v>226</v>
      </c>
      <c r="D178" t="s">
        <v>227</v>
      </c>
      <c r="E178">
        <v>2</v>
      </c>
      <c r="F178" t="s">
        <v>66</v>
      </c>
      <c r="G178" s="1">
        <v>1</v>
      </c>
      <c r="H178" s="1">
        <v>1</v>
      </c>
      <c r="I178" s="1">
        <v>1</v>
      </c>
      <c r="J178" t="s">
        <v>44</v>
      </c>
      <c r="K178" s="1">
        <v>1</v>
      </c>
      <c r="L178" s="1">
        <v>1</v>
      </c>
      <c r="M178" s="1">
        <v>1</v>
      </c>
    </row>
    <row r="179" spans="1:13" x14ac:dyDescent="0.3">
      <c r="A179" t="s">
        <v>241</v>
      </c>
      <c r="B179" t="s">
        <v>225</v>
      </c>
      <c r="C179" t="s">
        <v>226</v>
      </c>
      <c r="D179" t="s">
        <v>227</v>
      </c>
      <c r="E179">
        <v>2</v>
      </c>
      <c r="F179" t="s">
        <v>68</v>
      </c>
      <c r="G179" s="1">
        <v>1</v>
      </c>
      <c r="H179" s="1">
        <v>1</v>
      </c>
      <c r="I179" s="1">
        <v>1</v>
      </c>
      <c r="J179" t="s">
        <v>44</v>
      </c>
      <c r="K179" s="1">
        <v>1</v>
      </c>
      <c r="L179" s="1">
        <v>1</v>
      </c>
      <c r="M179" s="1">
        <v>1</v>
      </c>
    </row>
    <row r="180" spans="1:13" x14ac:dyDescent="0.3">
      <c r="A180" t="s">
        <v>242</v>
      </c>
      <c r="B180" t="s">
        <v>225</v>
      </c>
      <c r="C180" t="s">
        <v>226</v>
      </c>
      <c r="D180" t="s">
        <v>227</v>
      </c>
      <c r="E180">
        <v>2</v>
      </c>
      <c r="F180" t="s">
        <v>70</v>
      </c>
      <c r="G180" s="1">
        <v>1</v>
      </c>
      <c r="H180" s="1">
        <v>1</v>
      </c>
      <c r="I180" s="1">
        <v>1</v>
      </c>
      <c r="J180" t="s">
        <v>44</v>
      </c>
      <c r="K180" s="1">
        <v>1</v>
      </c>
      <c r="L180" s="1">
        <v>1</v>
      </c>
      <c r="M180" s="1">
        <v>1</v>
      </c>
    </row>
    <row r="181" spans="1:13" x14ac:dyDescent="0.3">
      <c r="A181" t="s">
        <v>243</v>
      </c>
      <c r="B181" t="s">
        <v>225</v>
      </c>
      <c r="C181" t="s">
        <v>226</v>
      </c>
      <c r="D181" t="s">
        <v>244</v>
      </c>
      <c r="E181">
        <v>2</v>
      </c>
      <c r="F181" t="s">
        <v>17</v>
      </c>
      <c r="G181" s="1">
        <v>1</v>
      </c>
      <c r="H181" s="1">
        <v>1</v>
      </c>
      <c r="I181" s="1">
        <v>1</v>
      </c>
      <c r="J181" t="s">
        <v>44</v>
      </c>
      <c r="K181" s="1">
        <v>1</v>
      </c>
      <c r="L181" s="1">
        <v>1</v>
      </c>
      <c r="M181" s="1">
        <v>1</v>
      </c>
    </row>
    <row r="182" spans="1:13" x14ac:dyDescent="0.3">
      <c r="A182" t="s">
        <v>245</v>
      </c>
      <c r="B182" t="s">
        <v>225</v>
      </c>
      <c r="C182" t="s">
        <v>226</v>
      </c>
      <c r="D182" t="s">
        <v>244</v>
      </c>
      <c r="E182">
        <v>2</v>
      </c>
      <c r="F182" t="s">
        <v>20</v>
      </c>
      <c r="G182" s="1">
        <v>1</v>
      </c>
      <c r="H182" s="1">
        <v>1</v>
      </c>
      <c r="I182" s="1">
        <v>1</v>
      </c>
      <c r="J182" t="s">
        <v>44</v>
      </c>
      <c r="K182" s="1">
        <v>1</v>
      </c>
      <c r="L182" s="1">
        <v>1</v>
      </c>
      <c r="M182" s="1">
        <v>1</v>
      </c>
    </row>
    <row r="183" spans="1:13" x14ac:dyDescent="0.3">
      <c r="A183" t="s">
        <v>246</v>
      </c>
      <c r="B183" t="s">
        <v>225</v>
      </c>
      <c r="C183" t="s">
        <v>226</v>
      </c>
      <c r="D183" t="s">
        <v>247</v>
      </c>
      <c r="E183">
        <v>2</v>
      </c>
      <c r="F183" t="s">
        <v>17</v>
      </c>
      <c r="G183" s="1">
        <v>1</v>
      </c>
      <c r="H183" s="1">
        <v>1</v>
      </c>
      <c r="I183" s="1">
        <v>1</v>
      </c>
      <c r="J183" t="s">
        <v>44</v>
      </c>
      <c r="K183" s="1">
        <v>1</v>
      </c>
      <c r="L183" s="1">
        <v>1</v>
      </c>
      <c r="M183" s="1">
        <v>1</v>
      </c>
    </row>
    <row r="184" spans="1:13" x14ac:dyDescent="0.3">
      <c r="A184" t="s">
        <v>248</v>
      </c>
      <c r="B184" t="s">
        <v>225</v>
      </c>
      <c r="C184" t="s">
        <v>226</v>
      </c>
      <c r="D184" t="s">
        <v>247</v>
      </c>
      <c r="E184">
        <v>2</v>
      </c>
      <c r="F184" t="s">
        <v>20</v>
      </c>
      <c r="G184" s="1">
        <v>1</v>
      </c>
      <c r="H184" s="1">
        <v>1</v>
      </c>
      <c r="I184" s="1">
        <v>1</v>
      </c>
      <c r="J184" t="s">
        <v>44</v>
      </c>
      <c r="K184" s="1">
        <v>1</v>
      </c>
      <c r="L184" s="1">
        <v>1</v>
      </c>
      <c r="M184" s="1">
        <v>1</v>
      </c>
    </row>
    <row r="185" spans="1:13" x14ac:dyDescent="0.3">
      <c r="A185" t="s">
        <v>249</v>
      </c>
      <c r="B185" t="s">
        <v>225</v>
      </c>
      <c r="C185" t="s">
        <v>226</v>
      </c>
      <c r="D185" t="s">
        <v>247</v>
      </c>
      <c r="E185">
        <v>2</v>
      </c>
      <c r="F185" t="s">
        <v>22</v>
      </c>
      <c r="G185" s="1">
        <v>1</v>
      </c>
      <c r="H185" s="1">
        <v>1</v>
      </c>
      <c r="I185" s="1">
        <v>1</v>
      </c>
      <c r="J185" t="s">
        <v>44</v>
      </c>
      <c r="K185" s="1">
        <v>1</v>
      </c>
      <c r="L185" s="1">
        <v>1</v>
      </c>
      <c r="M185" s="1">
        <v>1</v>
      </c>
    </row>
    <row r="186" spans="1:13" x14ac:dyDescent="0.3">
      <c r="A186" t="s">
        <v>250</v>
      </c>
      <c r="B186" t="s">
        <v>225</v>
      </c>
      <c r="C186" t="s">
        <v>226</v>
      </c>
      <c r="D186" t="s">
        <v>247</v>
      </c>
      <c r="E186">
        <v>2</v>
      </c>
      <c r="F186" t="s">
        <v>24</v>
      </c>
      <c r="G186" s="1">
        <v>1</v>
      </c>
      <c r="H186" s="1">
        <v>1</v>
      </c>
      <c r="I186" s="1">
        <v>1</v>
      </c>
      <c r="J186" t="s">
        <v>44</v>
      </c>
      <c r="K186" s="1">
        <v>1</v>
      </c>
      <c r="L186" s="1">
        <v>1</v>
      </c>
      <c r="M186" s="1">
        <v>1</v>
      </c>
    </row>
    <row r="187" spans="1:13" x14ac:dyDescent="0.3">
      <c r="A187" t="s">
        <v>251</v>
      </c>
      <c r="B187" t="s">
        <v>225</v>
      </c>
      <c r="C187" t="s">
        <v>226</v>
      </c>
      <c r="D187" t="s">
        <v>247</v>
      </c>
      <c r="E187">
        <v>2</v>
      </c>
      <c r="F187" t="s">
        <v>26</v>
      </c>
      <c r="G187" s="1">
        <v>1</v>
      </c>
      <c r="H187" s="1">
        <v>1</v>
      </c>
      <c r="I187" s="1">
        <v>1</v>
      </c>
      <c r="J187" t="s">
        <v>44</v>
      </c>
      <c r="K187" s="1">
        <v>1</v>
      </c>
      <c r="L187" s="1">
        <v>1</v>
      </c>
      <c r="M187" s="1">
        <v>1</v>
      </c>
    </row>
    <row r="188" spans="1:13" x14ac:dyDescent="0.3">
      <c r="A188" t="s">
        <v>252</v>
      </c>
      <c r="B188" t="s">
        <v>225</v>
      </c>
      <c r="C188" t="s">
        <v>226</v>
      </c>
      <c r="D188" t="s">
        <v>247</v>
      </c>
      <c r="E188">
        <v>2</v>
      </c>
      <c r="F188" t="s">
        <v>28</v>
      </c>
      <c r="G188" s="1">
        <v>1</v>
      </c>
      <c r="H188" s="1">
        <v>1</v>
      </c>
      <c r="I188" s="1">
        <v>1</v>
      </c>
      <c r="J188" t="s">
        <v>44</v>
      </c>
      <c r="K188" s="1">
        <v>1</v>
      </c>
      <c r="L188" s="1">
        <v>1</v>
      </c>
      <c r="M188" s="1">
        <v>1</v>
      </c>
    </row>
    <row r="189" spans="1:13" x14ac:dyDescent="0.3">
      <c r="A189" t="s">
        <v>253</v>
      </c>
      <c r="B189" t="s">
        <v>225</v>
      </c>
      <c r="C189" t="s">
        <v>226</v>
      </c>
      <c r="D189" t="s">
        <v>247</v>
      </c>
      <c r="E189">
        <v>2</v>
      </c>
      <c r="F189" t="s">
        <v>30</v>
      </c>
      <c r="G189" s="1">
        <v>1</v>
      </c>
      <c r="H189" s="1">
        <v>1</v>
      </c>
      <c r="I189" s="1">
        <v>1</v>
      </c>
      <c r="J189" t="s">
        <v>44</v>
      </c>
      <c r="K189" s="1">
        <v>1</v>
      </c>
      <c r="L189" s="1">
        <v>1</v>
      </c>
      <c r="M189" s="1">
        <v>1</v>
      </c>
    </row>
    <row r="190" spans="1:13" x14ac:dyDescent="0.3">
      <c r="A190" t="s">
        <v>254</v>
      </c>
      <c r="B190" t="s">
        <v>225</v>
      </c>
      <c r="C190" t="s">
        <v>226</v>
      </c>
      <c r="D190" t="s">
        <v>247</v>
      </c>
      <c r="E190">
        <v>2</v>
      </c>
      <c r="F190" t="s">
        <v>32</v>
      </c>
      <c r="G190" s="1">
        <v>1</v>
      </c>
      <c r="H190" s="1">
        <v>1</v>
      </c>
      <c r="I190" s="1">
        <v>1</v>
      </c>
      <c r="J190" t="s">
        <v>44</v>
      </c>
      <c r="K190" s="1">
        <v>1</v>
      </c>
      <c r="L190" s="1">
        <v>1</v>
      </c>
      <c r="M190" s="1">
        <v>1</v>
      </c>
    </row>
    <row r="191" spans="1:13" x14ac:dyDescent="0.3">
      <c r="A191" t="s">
        <v>255</v>
      </c>
      <c r="B191" t="s">
        <v>225</v>
      </c>
      <c r="C191" t="s">
        <v>226</v>
      </c>
      <c r="D191" t="s">
        <v>247</v>
      </c>
      <c r="E191">
        <v>2</v>
      </c>
      <c r="F191" t="s">
        <v>34</v>
      </c>
      <c r="G191" s="1">
        <v>1</v>
      </c>
      <c r="H191" s="1">
        <v>1</v>
      </c>
      <c r="I191" s="1">
        <v>1</v>
      </c>
      <c r="J191" t="s">
        <v>44</v>
      </c>
      <c r="K191" s="1">
        <v>1</v>
      </c>
      <c r="L191" s="1">
        <v>1</v>
      </c>
      <c r="M191" s="1">
        <v>1</v>
      </c>
    </row>
    <row r="192" spans="1:13" x14ac:dyDescent="0.3">
      <c r="A192" t="s">
        <v>256</v>
      </c>
      <c r="B192" t="s">
        <v>225</v>
      </c>
      <c r="C192" t="s">
        <v>226</v>
      </c>
      <c r="D192" t="s">
        <v>247</v>
      </c>
      <c r="E192">
        <v>2</v>
      </c>
      <c r="F192" t="s">
        <v>36</v>
      </c>
      <c r="G192" s="1">
        <v>1</v>
      </c>
      <c r="H192" s="1">
        <v>1</v>
      </c>
      <c r="I192" s="1">
        <v>1</v>
      </c>
      <c r="J192" t="s">
        <v>44</v>
      </c>
      <c r="K192" s="1">
        <v>1</v>
      </c>
      <c r="L192" s="1">
        <v>1</v>
      </c>
      <c r="M192" s="1">
        <v>1</v>
      </c>
    </row>
    <row r="193" spans="1:13" x14ac:dyDescent="0.3">
      <c r="A193" t="s">
        <v>257</v>
      </c>
      <c r="B193" t="s">
        <v>225</v>
      </c>
      <c r="C193" t="s">
        <v>226</v>
      </c>
      <c r="D193" t="s">
        <v>247</v>
      </c>
      <c r="E193">
        <v>2</v>
      </c>
      <c r="F193" t="s">
        <v>38</v>
      </c>
      <c r="G193" s="1">
        <v>1</v>
      </c>
      <c r="H193" s="1">
        <v>1</v>
      </c>
      <c r="I193" s="1">
        <v>1</v>
      </c>
      <c r="J193" t="s">
        <v>44</v>
      </c>
      <c r="K193" s="1">
        <v>1</v>
      </c>
      <c r="L193" s="1">
        <v>1</v>
      </c>
      <c r="M193" s="1">
        <v>1</v>
      </c>
    </row>
    <row r="194" spans="1:13" x14ac:dyDescent="0.3">
      <c r="A194" t="s">
        <v>258</v>
      </c>
      <c r="B194" t="s">
        <v>225</v>
      </c>
      <c r="C194" t="s">
        <v>226</v>
      </c>
      <c r="D194" t="s">
        <v>247</v>
      </c>
      <c r="E194">
        <v>2</v>
      </c>
      <c r="F194" t="s">
        <v>40</v>
      </c>
      <c r="G194" s="1">
        <v>1</v>
      </c>
      <c r="H194" s="1">
        <v>1</v>
      </c>
      <c r="I194" s="1">
        <v>1</v>
      </c>
      <c r="J194" t="s">
        <v>44</v>
      </c>
      <c r="K194" s="1">
        <v>1</v>
      </c>
      <c r="L194" s="1">
        <v>1</v>
      </c>
      <c r="M194" s="1">
        <v>1</v>
      </c>
    </row>
    <row r="195" spans="1:13" x14ac:dyDescent="0.3">
      <c r="A195" t="s">
        <v>259</v>
      </c>
      <c r="B195" t="s">
        <v>225</v>
      </c>
      <c r="C195" t="s">
        <v>226</v>
      </c>
      <c r="D195" t="s">
        <v>247</v>
      </c>
      <c r="E195">
        <v>2</v>
      </c>
      <c r="F195" t="s">
        <v>64</v>
      </c>
      <c r="G195" s="1">
        <v>1</v>
      </c>
      <c r="H195" s="1">
        <v>1</v>
      </c>
      <c r="I195" s="1">
        <v>1</v>
      </c>
      <c r="J195" t="s">
        <v>44</v>
      </c>
      <c r="K195" s="1">
        <v>1</v>
      </c>
      <c r="L195" s="1">
        <v>1</v>
      </c>
      <c r="M195" s="1">
        <v>1</v>
      </c>
    </row>
    <row r="196" spans="1:13" x14ac:dyDescent="0.3">
      <c r="A196" t="s">
        <v>260</v>
      </c>
      <c r="B196" t="s">
        <v>225</v>
      </c>
      <c r="C196" t="s">
        <v>226</v>
      </c>
      <c r="D196" t="s">
        <v>247</v>
      </c>
      <c r="E196">
        <v>2</v>
      </c>
      <c r="F196" t="s">
        <v>66</v>
      </c>
      <c r="G196" s="1">
        <v>1</v>
      </c>
      <c r="H196" s="1">
        <v>1</v>
      </c>
      <c r="I196" s="1">
        <v>1</v>
      </c>
      <c r="J196" t="s">
        <v>44</v>
      </c>
      <c r="K196" s="1">
        <v>1</v>
      </c>
      <c r="L196" s="1">
        <v>1</v>
      </c>
      <c r="M196" s="1">
        <v>1</v>
      </c>
    </row>
    <row r="197" spans="1:13" x14ac:dyDescent="0.3">
      <c r="A197" t="s">
        <v>261</v>
      </c>
      <c r="B197" t="s">
        <v>225</v>
      </c>
      <c r="C197" t="s">
        <v>226</v>
      </c>
      <c r="D197" t="s">
        <v>247</v>
      </c>
      <c r="E197">
        <v>2</v>
      </c>
      <c r="F197" t="s">
        <v>68</v>
      </c>
      <c r="G197" s="1">
        <v>1</v>
      </c>
      <c r="H197" s="1">
        <v>1</v>
      </c>
      <c r="I197" s="1">
        <v>1</v>
      </c>
      <c r="J197" t="s">
        <v>44</v>
      </c>
      <c r="K197" s="1">
        <v>1</v>
      </c>
      <c r="L197" s="1">
        <v>1</v>
      </c>
      <c r="M197" s="1">
        <v>1</v>
      </c>
    </row>
    <row r="198" spans="1:13" x14ac:dyDescent="0.3">
      <c r="A198" t="s">
        <v>262</v>
      </c>
      <c r="B198" t="s">
        <v>225</v>
      </c>
      <c r="C198" t="s">
        <v>226</v>
      </c>
      <c r="D198" t="s">
        <v>263</v>
      </c>
      <c r="E198">
        <v>5</v>
      </c>
      <c r="F198" t="s">
        <v>17</v>
      </c>
      <c r="G198" s="1">
        <v>1</v>
      </c>
      <c r="H198" s="1">
        <v>1</v>
      </c>
      <c r="I198" s="1">
        <v>1</v>
      </c>
      <c r="J198" t="s">
        <v>44</v>
      </c>
      <c r="K198" s="1">
        <v>1</v>
      </c>
      <c r="L198" s="1">
        <v>1</v>
      </c>
      <c r="M198" s="1">
        <v>1</v>
      </c>
    </row>
    <row r="199" spans="1:13" x14ac:dyDescent="0.3">
      <c r="A199" t="s">
        <v>264</v>
      </c>
      <c r="B199" t="s">
        <v>225</v>
      </c>
      <c r="C199" t="s">
        <v>226</v>
      </c>
      <c r="D199" t="s">
        <v>263</v>
      </c>
      <c r="E199">
        <v>5</v>
      </c>
      <c r="F199" t="s">
        <v>20</v>
      </c>
      <c r="G199" s="1">
        <v>1</v>
      </c>
      <c r="H199" s="1">
        <v>1</v>
      </c>
      <c r="I199" s="1">
        <v>1</v>
      </c>
      <c r="J199" t="s">
        <v>44</v>
      </c>
      <c r="K199" s="1">
        <v>1</v>
      </c>
      <c r="L199" s="1">
        <v>1</v>
      </c>
      <c r="M199" s="1">
        <v>1</v>
      </c>
    </row>
    <row r="200" spans="1:13" x14ac:dyDescent="0.3">
      <c r="A200" t="s">
        <v>265</v>
      </c>
      <c r="B200" t="s">
        <v>225</v>
      </c>
      <c r="C200" t="s">
        <v>226</v>
      </c>
      <c r="D200" t="s">
        <v>263</v>
      </c>
      <c r="E200">
        <v>5</v>
      </c>
      <c r="F200" t="s">
        <v>22</v>
      </c>
      <c r="G200" s="1">
        <v>1</v>
      </c>
      <c r="H200" s="1">
        <v>1</v>
      </c>
      <c r="I200" s="1">
        <v>1</v>
      </c>
      <c r="J200" t="s">
        <v>44</v>
      </c>
      <c r="K200" s="1">
        <v>1</v>
      </c>
      <c r="L200" s="1">
        <v>1</v>
      </c>
      <c r="M200" s="1">
        <v>1</v>
      </c>
    </row>
    <row r="201" spans="1:13" x14ac:dyDescent="0.3">
      <c r="A201" t="s">
        <v>266</v>
      </c>
      <c r="B201" t="s">
        <v>225</v>
      </c>
      <c r="C201" t="s">
        <v>226</v>
      </c>
      <c r="D201" t="s">
        <v>263</v>
      </c>
      <c r="E201">
        <v>5</v>
      </c>
      <c r="F201" t="s">
        <v>24</v>
      </c>
      <c r="G201" s="1">
        <v>1</v>
      </c>
      <c r="H201" s="1">
        <v>1</v>
      </c>
      <c r="I201" s="1">
        <v>1</v>
      </c>
      <c r="J201" t="s">
        <v>44</v>
      </c>
      <c r="K201" s="1">
        <v>1</v>
      </c>
      <c r="L201" s="1">
        <v>1</v>
      </c>
      <c r="M201" s="1">
        <v>1</v>
      </c>
    </row>
    <row r="202" spans="1:13" x14ac:dyDescent="0.3">
      <c r="A202" t="s">
        <v>267</v>
      </c>
      <c r="B202" t="s">
        <v>225</v>
      </c>
      <c r="C202" t="s">
        <v>226</v>
      </c>
      <c r="D202" t="s">
        <v>263</v>
      </c>
      <c r="E202">
        <v>5</v>
      </c>
      <c r="F202" t="s">
        <v>26</v>
      </c>
      <c r="G202" s="1">
        <v>1</v>
      </c>
      <c r="H202" s="1">
        <v>1</v>
      </c>
      <c r="I202" s="1">
        <v>1</v>
      </c>
      <c r="J202" t="s">
        <v>44</v>
      </c>
      <c r="K202" s="1">
        <v>1</v>
      </c>
      <c r="L202" s="1">
        <v>1</v>
      </c>
      <c r="M202" s="1">
        <v>1</v>
      </c>
    </row>
    <row r="203" spans="1:13" x14ac:dyDescent="0.3">
      <c r="A203" t="s">
        <v>268</v>
      </c>
      <c r="B203" t="s">
        <v>225</v>
      </c>
      <c r="C203" t="s">
        <v>226</v>
      </c>
      <c r="D203" t="s">
        <v>263</v>
      </c>
      <c r="E203">
        <v>5</v>
      </c>
      <c r="F203" t="s">
        <v>28</v>
      </c>
      <c r="G203" s="1">
        <v>1</v>
      </c>
      <c r="H203" s="1">
        <v>1</v>
      </c>
      <c r="I203" s="1">
        <v>1</v>
      </c>
      <c r="J203" t="s">
        <v>44</v>
      </c>
      <c r="K203" s="1">
        <v>1</v>
      </c>
      <c r="L203" s="1">
        <v>1</v>
      </c>
      <c r="M203" s="1">
        <v>1</v>
      </c>
    </row>
    <row r="204" spans="1:13" x14ac:dyDescent="0.3">
      <c r="A204" t="s">
        <v>269</v>
      </c>
      <c r="B204" t="s">
        <v>225</v>
      </c>
      <c r="C204" t="s">
        <v>226</v>
      </c>
      <c r="D204" t="s">
        <v>263</v>
      </c>
      <c r="E204">
        <v>5</v>
      </c>
      <c r="F204" t="s">
        <v>30</v>
      </c>
      <c r="G204" s="1">
        <v>1</v>
      </c>
      <c r="H204" s="1">
        <v>1</v>
      </c>
      <c r="I204" s="1">
        <v>1</v>
      </c>
      <c r="J204" t="s">
        <v>44</v>
      </c>
      <c r="K204" s="1">
        <v>1</v>
      </c>
      <c r="L204" s="1">
        <v>1</v>
      </c>
      <c r="M204" s="1">
        <v>1</v>
      </c>
    </row>
    <row r="205" spans="1:13" x14ac:dyDescent="0.3">
      <c r="A205" t="s">
        <v>270</v>
      </c>
      <c r="B205" t="s">
        <v>225</v>
      </c>
      <c r="C205" t="s">
        <v>226</v>
      </c>
      <c r="D205" t="s">
        <v>263</v>
      </c>
      <c r="E205">
        <v>5</v>
      </c>
      <c r="F205" t="s">
        <v>32</v>
      </c>
      <c r="G205" s="1">
        <v>1</v>
      </c>
      <c r="H205" s="1">
        <v>1</v>
      </c>
      <c r="I205" s="1">
        <v>1</v>
      </c>
      <c r="J205" t="s">
        <v>44</v>
      </c>
      <c r="K205" s="1">
        <v>1</v>
      </c>
      <c r="L205" s="1">
        <v>1</v>
      </c>
      <c r="M205" s="1">
        <v>1</v>
      </c>
    </row>
    <row r="206" spans="1:13" x14ac:dyDescent="0.3">
      <c r="A206" t="s">
        <v>271</v>
      </c>
      <c r="B206" t="s">
        <v>225</v>
      </c>
      <c r="C206" t="s">
        <v>226</v>
      </c>
      <c r="D206" t="s">
        <v>263</v>
      </c>
      <c r="E206">
        <v>5</v>
      </c>
      <c r="F206" t="s">
        <v>34</v>
      </c>
      <c r="G206" s="1">
        <v>1</v>
      </c>
      <c r="H206" s="1">
        <v>1</v>
      </c>
      <c r="I206" s="1">
        <v>1</v>
      </c>
      <c r="J206" t="s">
        <v>44</v>
      </c>
      <c r="K206" s="1">
        <v>1</v>
      </c>
      <c r="L206" s="1">
        <v>1</v>
      </c>
      <c r="M206" s="1">
        <v>1</v>
      </c>
    </row>
    <row r="207" spans="1:13" x14ac:dyDescent="0.3">
      <c r="A207" t="s">
        <v>272</v>
      </c>
      <c r="B207" t="s">
        <v>225</v>
      </c>
      <c r="C207" t="s">
        <v>226</v>
      </c>
      <c r="D207" t="s">
        <v>263</v>
      </c>
      <c r="E207">
        <v>5</v>
      </c>
      <c r="F207" t="s">
        <v>36</v>
      </c>
      <c r="G207" s="1">
        <v>1</v>
      </c>
      <c r="H207" s="1">
        <v>1</v>
      </c>
      <c r="I207" s="1">
        <v>1</v>
      </c>
      <c r="J207" t="s">
        <v>44</v>
      </c>
      <c r="K207" s="1">
        <v>1</v>
      </c>
      <c r="L207" s="1">
        <v>1</v>
      </c>
      <c r="M207" s="1">
        <v>1</v>
      </c>
    </row>
    <row r="208" spans="1:13" x14ac:dyDescent="0.3">
      <c r="A208" t="s">
        <v>273</v>
      </c>
      <c r="B208" t="s">
        <v>225</v>
      </c>
      <c r="C208" t="s">
        <v>226</v>
      </c>
      <c r="D208" t="s">
        <v>263</v>
      </c>
      <c r="E208">
        <v>5</v>
      </c>
      <c r="F208" t="s">
        <v>38</v>
      </c>
      <c r="G208" s="1">
        <v>1</v>
      </c>
      <c r="H208" s="1">
        <v>1</v>
      </c>
      <c r="I208" s="1">
        <v>1</v>
      </c>
      <c r="J208" t="s">
        <v>44</v>
      </c>
      <c r="K208" s="1">
        <v>1</v>
      </c>
      <c r="L208" s="1">
        <v>1</v>
      </c>
      <c r="M208" s="1">
        <v>1</v>
      </c>
    </row>
    <row r="209" spans="1:13" x14ac:dyDescent="0.3">
      <c r="A209" t="s">
        <v>274</v>
      </c>
      <c r="B209" t="s">
        <v>225</v>
      </c>
      <c r="C209" t="s">
        <v>226</v>
      </c>
      <c r="D209" t="s">
        <v>263</v>
      </c>
      <c r="E209">
        <v>5</v>
      </c>
      <c r="F209" t="s">
        <v>40</v>
      </c>
      <c r="G209" s="1">
        <v>1</v>
      </c>
      <c r="H209" s="1">
        <v>1</v>
      </c>
      <c r="I209" s="1">
        <v>1</v>
      </c>
      <c r="J209" t="s">
        <v>44</v>
      </c>
      <c r="K209" s="1">
        <v>1</v>
      </c>
      <c r="L209" s="1">
        <v>1</v>
      </c>
      <c r="M209" s="1">
        <v>1</v>
      </c>
    </row>
    <row r="210" spans="1:13" x14ac:dyDescent="0.3">
      <c r="A210" t="s">
        <v>275</v>
      </c>
      <c r="B210" t="s">
        <v>225</v>
      </c>
      <c r="C210" t="s">
        <v>226</v>
      </c>
      <c r="D210" t="s">
        <v>263</v>
      </c>
      <c r="E210">
        <v>5</v>
      </c>
      <c r="F210" t="s">
        <v>64</v>
      </c>
      <c r="G210" s="1">
        <v>1</v>
      </c>
      <c r="H210" s="1">
        <v>1</v>
      </c>
      <c r="I210" s="1">
        <v>1</v>
      </c>
      <c r="J210" t="s">
        <v>44</v>
      </c>
      <c r="K210" s="1">
        <v>1</v>
      </c>
      <c r="L210" s="1">
        <v>1</v>
      </c>
      <c r="M210" s="1">
        <v>1</v>
      </c>
    </row>
    <row r="211" spans="1:13" x14ac:dyDescent="0.3">
      <c r="A211" t="s">
        <v>276</v>
      </c>
      <c r="B211" t="s">
        <v>225</v>
      </c>
      <c r="C211" t="s">
        <v>226</v>
      </c>
      <c r="D211" t="s">
        <v>263</v>
      </c>
      <c r="E211">
        <v>5</v>
      </c>
      <c r="F211" t="s">
        <v>66</v>
      </c>
      <c r="G211" s="1">
        <v>1</v>
      </c>
      <c r="H211" s="1">
        <v>1</v>
      </c>
      <c r="I211" s="1">
        <v>1</v>
      </c>
      <c r="J211" t="s">
        <v>44</v>
      </c>
      <c r="K211" s="1">
        <v>1</v>
      </c>
      <c r="L211" s="1">
        <v>1</v>
      </c>
      <c r="M211" s="1">
        <v>1</v>
      </c>
    </row>
    <row r="212" spans="1:13" x14ac:dyDescent="0.3">
      <c r="A212" t="s">
        <v>277</v>
      </c>
      <c r="B212" t="s">
        <v>225</v>
      </c>
      <c r="C212" t="s">
        <v>226</v>
      </c>
      <c r="D212" t="s">
        <v>278</v>
      </c>
      <c r="E212">
        <v>5</v>
      </c>
      <c r="F212" t="s">
        <v>17</v>
      </c>
      <c r="G212" s="1">
        <v>1</v>
      </c>
      <c r="H212" s="1">
        <v>1</v>
      </c>
      <c r="I212" s="1">
        <v>1</v>
      </c>
      <c r="J212" t="s">
        <v>44</v>
      </c>
      <c r="K212" s="1">
        <v>1</v>
      </c>
      <c r="L212" s="1">
        <v>1</v>
      </c>
      <c r="M212" s="1">
        <v>1</v>
      </c>
    </row>
    <row r="213" spans="1:13" x14ac:dyDescent="0.3">
      <c r="A213" t="s">
        <v>279</v>
      </c>
      <c r="B213" t="s">
        <v>225</v>
      </c>
      <c r="C213" t="s">
        <v>226</v>
      </c>
      <c r="D213" t="s">
        <v>278</v>
      </c>
      <c r="E213">
        <v>5</v>
      </c>
      <c r="F213" t="s">
        <v>20</v>
      </c>
      <c r="G213" s="1">
        <v>1</v>
      </c>
      <c r="H213" s="1">
        <v>1</v>
      </c>
      <c r="I213" s="1">
        <v>1</v>
      </c>
      <c r="J213" t="s">
        <v>44</v>
      </c>
      <c r="K213" s="1">
        <v>1</v>
      </c>
      <c r="L213" s="1">
        <v>1</v>
      </c>
      <c r="M213" s="1">
        <v>1</v>
      </c>
    </row>
    <row r="214" spans="1:13" x14ac:dyDescent="0.3">
      <c r="A214" t="s">
        <v>280</v>
      </c>
      <c r="B214" t="s">
        <v>225</v>
      </c>
      <c r="C214" t="s">
        <v>226</v>
      </c>
      <c r="D214" t="s">
        <v>278</v>
      </c>
      <c r="E214">
        <v>5</v>
      </c>
      <c r="F214" t="s">
        <v>22</v>
      </c>
      <c r="G214" s="1">
        <v>1</v>
      </c>
      <c r="H214" s="1">
        <v>1</v>
      </c>
      <c r="I214" s="1">
        <v>1</v>
      </c>
      <c r="J214" t="s">
        <v>44</v>
      </c>
      <c r="K214" s="1">
        <v>1</v>
      </c>
      <c r="L214" s="1">
        <v>1</v>
      </c>
      <c r="M214" s="1">
        <v>1</v>
      </c>
    </row>
    <row r="215" spans="1:13" x14ac:dyDescent="0.3">
      <c r="A215" t="s">
        <v>281</v>
      </c>
      <c r="B215" t="s">
        <v>225</v>
      </c>
      <c r="C215" t="s">
        <v>226</v>
      </c>
      <c r="D215" t="s">
        <v>278</v>
      </c>
      <c r="E215">
        <v>5</v>
      </c>
      <c r="F215" t="s">
        <v>24</v>
      </c>
      <c r="G215" s="1">
        <v>1</v>
      </c>
      <c r="H215" s="1">
        <v>1</v>
      </c>
      <c r="I215" s="1">
        <v>1</v>
      </c>
      <c r="J215" t="s">
        <v>44</v>
      </c>
      <c r="K215" s="1">
        <v>1</v>
      </c>
      <c r="L215" s="1">
        <v>1</v>
      </c>
      <c r="M215" s="1">
        <v>1</v>
      </c>
    </row>
    <row r="216" spans="1:13" x14ac:dyDescent="0.3">
      <c r="A216" t="s">
        <v>282</v>
      </c>
      <c r="B216" t="s">
        <v>225</v>
      </c>
      <c r="C216" t="s">
        <v>226</v>
      </c>
      <c r="D216" t="s">
        <v>278</v>
      </c>
      <c r="E216">
        <v>5</v>
      </c>
      <c r="F216" t="s">
        <v>26</v>
      </c>
      <c r="G216" s="1">
        <v>1</v>
      </c>
      <c r="H216" s="1">
        <v>1</v>
      </c>
      <c r="I216" s="1">
        <v>1</v>
      </c>
      <c r="J216" t="s">
        <v>44</v>
      </c>
      <c r="K216" s="1">
        <v>1</v>
      </c>
      <c r="L216" s="1">
        <v>1</v>
      </c>
      <c r="M216" s="1">
        <v>1</v>
      </c>
    </row>
    <row r="217" spans="1:13" x14ac:dyDescent="0.3">
      <c r="A217" t="s">
        <v>283</v>
      </c>
      <c r="B217" t="s">
        <v>225</v>
      </c>
      <c r="C217" t="s">
        <v>226</v>
      </c>
      <c r="D217" t="s">
        <v>278</v>
      </c>
      <c r="E217">
        <v>5</v>
      </c>
      <c r="F217" t="s">
        <v>28</v>
      </c>
      <c r="G217" s="1">
        <v>1</v>
      </c>
      <c r="H217" s="1">
        <v>1</v>
      </c>
      <c r="I217" s="1">
        <v>1</v>
      </c>
      <c r="J217" t="s">
        <v>44</v>
      </c>
      <c r="K217" s="1">
        <v>1</v>
      </c>
      <c r="L217" s="1">
        <v>1</v>
      </c>
      <c r="M217" s="1">
        <v>1</v>
      </c>
    </row>
    <row r="218" spans="1:13" x14ac:dyDescent="0.3">
      <c r="A218" t="s">
        <v>284</v>
      </c>
      <c r="B218" t="s">
        <v>225</v>
      </c>
      <c r="C218" t="s">
        <v>226</v>
      </c>
      <c r="D218" t="s">
        <v>278</v>
      </c>
      <c r="E218">
        <v>5</v>
      </c>
      <c r="F218" t="s">
        <v>30</v>
      </c>
      <c r="G218" s="1">
        <v>1</v>
      </c>
      <c r="H218" s="1">
        <v>1</v>
      </c>
      <c r="I218" s="1">
        <v>1</v>
      </c>
      <c r="J218" t="s">
        <v>44</v>
      </c>
      <c r="K218" s="1">
        <v>1</v>
      </c>
      <c r="L218" s="1">
        <v>1</v>
      </c>
      <c r="M218" s="1">
        <v>1</v>
      </c>
    </row>
    <row r="219" spans="1:13" x14ac:dyDescent="0.3">
      <c r="A219" t="s">
        <v>285</v>
      </c>
      <c r="B219" t="s">
        <v>225</v>
      </c>
      <c r="C219" t="s">
        <v>226</v>
      </c>
      <c r="D219" t="s">
        <v>278</v>
      </c>
      <c r="E219">
        <v>5</v>
      </c>
      <c r="F219" t="s">
        <v>32</v>
      </c>
      <c r="G219" s="1">
        <v>1</v>
      </c>
      <c r="H219" s="1">
        <v>1</v>
      </c>
      <c r="I219" s="1">
        <v>1</v>
      </c>
      <c r="J219" t="s">
        <v>44</v>
      </c>
      <c r="K219" s="1">
        <v>1</v>
      </c>
      <c r="L219" s="1">
        <v>1</v>
      </c>
      <c r="M219" s="1">
        <v>1</v>
      </c>
    </row>
    <row r="220" spans="1:13" x14ac:dyDescent="0.3">
      <c r="A220" t="s">
        <v>286</v>
      </c>
      <c r="B220" t="s">
        <v>225</v>
      </c>
      <c r="C220" t="s">
        <v>226</v>
      </c>
      <c r="D220" t="s">
        <v>278</v>
      </c>
      <c r="E220">
        <v>5</v>
      </c>
      <c r="F220" t="s">
        <v>34</v>
      </c>
      <c r="G220" s="1">
        <v>1</v>
      </c>
      <c r="H220" s="1">
        <v>1</v>
      </c>
      <c r="I220" s="1">
        <v>1</v>
      </c>
      <c r="J220" t="s">
        <v>44</v>
      </c>
      <c r="K220" s="1">
        <v>1</v>
      </c>
      <c r="L220" s="1">
        <v>1</v>
      </c>
      <c r="M220" s="1">
        <v>1</v>
      </c>
    </row>
    <row r="221" spans="1:13" x14ac:dyDescent="0.3">
      <c r="A221" t="s">
        <v>287</v>
      </c>
      <c r="B221" t="s">
        <v>225</v>
      </c>
      <c r="C221" t="s">
        <v>226</v>
      </c>
      <c r="D221" t="s">
        <v>278</v>
      </c>
      <c r="E221">
        <v>5</v>
      </c>
      <c r="F221" t="s">
        <v>36</v>
      </c>
      <c r="G221" s="1">
        <v>1</v>
      </c>
      <c r="H221" s="1">
        <v>1</v>
      </c>
      <c r="I221" s="1">
        <v>1</v>
      </c>
      <c r="J221" t="s">
        <v>44</v>
      </c>
      <c r="K221" s="1">
        <v>1</v>
      </c>
      <c r="L221" s="1">
        <v>1</v>
      </c>
      <c r="M221" s="1">
        <v>1</v>
      </c>
    </row>
    <row r="222" spans="1:13" x14ac:dyDescent="0.3">
      <c r="A222" t="s">
        <v>288</v>
      </c>
      <c r="B222" t="s">
        <v>225</v>
      </c>
      <c r="C222" t="s">
        <v>226</v>
      </c>
      <c r="D222" t="s">
        <v>51</v>
      </c>
      <c r="E222">
        <v>2</v>
      </c>
      <c r="F222" t="s">
        <v>17</v>
      </c>
      <c r="G222" s="1">
        <v>1</v>
      </c>
      <c r="H222" s="1">
        <v>1</v>
      </c>
      <c r="I222" s="1">
        <v>1</v>
      </c>
      <c r="J222" t="s">
        <v>44</v>
      </c>
      <c r="K222" s="1">
        <v>1</v>
      </c>
      <c r="L222" s="1">
        <v>1</v>
      </c>
      <c r="M222" s="1">
        <v>1</v>
      </c>
    </row>
    <row r="223" spans="1:13" x14ac:dyDescent="0.3">
      <c r="A223" t="s">
        <v>289</v>
      </c>
      <c r="B223" t="s">
        <v>225</v>
      </c>
      <c r="C223" t="s">
        <v>226</v>
      </c>
      <c r="D223" t="s">
        <v>51</v>
      </c>
      <c r="E223">
        <v>2</v>
      </c>
      <c r="F223" t="s">
        <v>20</v>
      </c>
      <c r="G223" s="1">
        <v>1</v>
      </c>
      <c r="H223" s="1">
        <v>1</v>
      </c>
      <c r="I223" s="1">
        <v>1</v>
      </c>
      <c r="J223" t="s">
        <v>44</v>
      </c>
      <c r="K223" s="1">
        <v>1</v>
      </c>
      <c r="L223" s="1">
        <v>1</v>
      </c>
      <c r="M223" s="1">
        <v>1</v>
      </c>
    </row>
    <row r="224" spans="1:13" x14ac:dyDescent="0.3">
      <c r="A224" t="s">
        <v>290</v>
      </c>
      <c r="B224" t="s">
        <v>225</v>
      </c>
      <c r="C224" t="s">
        <v>226</v>
      </c>
      <c r="D224" t="s">
        <v>51</v>
      </c>
      <c r="E224">
        <v>2</v>
      </c>
      <c r="F224" t="s">
        <v>22</v>
      </c>
      <c r="G224" s="1">
        <v>1</v>
      </c>
      <c r="H224" s="1">
        <v>1</v>
      </c>
      <c r="I224" s="1">
        <v>1</v>
      </c>
      <c r="J224" t="s">
        <v>44</v>
      </c>
      <c r="K224" s="1">
        <v>1</v>
      </c>
      <c r="L224" s="1">
        <v>1</v>
      </c>
      <c r="M224" s="1">
        <v>1</v>
      </c>
    </row>
    <row r="225" spans="1:13" x14ac:dyDescent="0.3">
      <c r="A225" t="s">
        <v>291</v>
      </c>
      <c r="B225" t="s">
        <v>225</v>
      </c>
      <c r="C225" t="s">
        <v>226</v>
      </c>
      <c r="D225" t="s">
        <v>51</v>
      </c>
      <c r="E225">
        <v>2</v>
      </c>
      <c r="F225" t="s">
        <v>24</v>
      </c>
      <c r="J225" t="s">
        <v>44</v>
      </c>
      <c r="K225" s="1">
        <v>1</v>
      </c>
      <c r="L225" s="1">
        <v>1</v>
      </c>
    </row>
    <row r="226" spans="1:13" x14ac:dyDescent="0.3">
      <c r="A226" t="s">
        <v>292</v>
      </c>
      <c r="B226" t="s">
        <v>225</v>
      </c>
      <c r="C226" t="s">
        <v>226</v>
      </c>
      <c r="D226" t="s">
        <v>51</v>
      </c>
      <c r="E226">
        <v>2</v>
      </c>
      <c r="F226" t="s">
        <v>26</v>
      </c>
      <c r="J226" t="s">
        <v>44</v>
      </c>
      <c r="K226" s="1">
        <v>1</v>
      </c>
      <c r="L226" s="1">
        <v>1</v>
      </c>
    </row>
    <row r="227" spans="1:13" x14ac:dyDescent="0.3">
      <c r="A227" t="s">
        <v>293</v>
      </c>
      <c r="B227" t="s">
        <v>225</v>
      </c>
      <c r="C227" t="s">
        <v>226</v>
      </c>
      <c r="D227" t="s">
        <v>51</v>
      </c>
      <c r="E227">
        <v>2</v>
      </c>
      <c r="F227" t="s">
        <v>28</v>
      </c>
      <c r="G227" s="1">
        <v>1</v>
      </c>
      <c r="H227" s="1">
        <v>1</v>
      </c>
      <c r="I227" s="1">
        <v>1</v>
      </c>
      <c r="J227" t="s">
        <v>44</v>
      </c>
      <c r="K227" s="1">
        <v>1</v>
      </c>
      <c r="L227" s="1">
        <v>1</v>
      </c>
      <c r="M227" s="1">
        <v>1</v>
      </c>
    </row>
    <row r="228" spans="1:13" x14ac:dyDescent="0.3">
      <c r="A228" t="s">
        <v>294</v>
      </c>
      <c r="B228" t="s">
        <v>225</v>
      </c>
      <c r="C228" t="s">
        <v>226</v>
      </c>
      <c r="D228" t="s">
        <v>51</v>
      </c>
      <c r="E228">
        <v>2</v>
      </c>
      <c r="F228" t="s">
        <v>30</v>
      </c>
      <c r="J228" t="s">
        <v>44</v>
      </c>
      <c r="K228" s="1">
        <v>1</v>
      </c>
      <c r="L228" s="1">
        <v>1</v>
      </c>
    </row>
    <row r="229" spans="1:13" x14ac:dyDescent="0.3">
      <c r="A229" t="s">
        <v>295</v>
      </c>
      <c r="B229" t="s">
        <v>225</v>
      </c>
      <c r="C229" t="s">
        <v>226</v>
      </c>
      <c r="D229" t="s">
        <v>86</v>
      </c>
      <c r="E229">
        <v>2</v>
      </c>
      <c r="F229" t="s">
        <v>17</v>
      </c>
      <c r="G229" s="1">
        <v>1</v>
      </c>
      <c r="H229" s="1">
        <v>1</v>
      </c>
      <c r="I229" s="1">
        <v>1</v>
      </c>
      <c r="J229" t="s">
        <v>44</v>
      </c>
      <c r="K229" s="1">
        <v>1</v>
      </c>
      <c r="L229" s="1">
        <v>1</v>
      </c>
      <c r="M229" s="1">
        <v>1</v>
      </c>
    </row>
    <row r="230" spans="1:13" x14ac:dyDescent="0.3">
      <c r="A230" t="s">
        <v>296</v>
      </c>
      <c r="B230" t="s">
        <v>225</v>
      </c>
      <c r="C230" t="s">
        <v>226</v>
      </c>
      <c r="D230" t="s">
        <v>86</v>
      </c>
      <c r="E230">
        <v>2</v>
      </c>
      <c r="F230" t="s">
        <v>20</v>
      </c>
      <c r="G230" s="1">
        <v>1</v>
      </c>
      <c r="H230" s="1">
        <v>1</v>
      </c>
      <c r="I230" s="1">
        <v>1</v>
      </c>
      <c r="J230" t="s">
        <v>44</v>
      </c>
      <c r="K230" s="1">
        <v>1</v>
      </c>
      <c r="L230" s="1">
        <v>1</v>
      </c>
      <c r="M230" s="1">
        <v>1</v>
      </c>
    </row>
    <row r="231" spans="1:13" x14ac:dyDescent="0.3">
      <c r="A231" t="s">
        <v>297</v>
      </c>
      <c r="B231" t="s">
        <v>225</v>
      </c>
      <c r="C231" t="s">
        <v>226</v>
      </c>
      <c r="D231" t="s">
        <v>86</v>
      </c>
      <c r="E231">
        <v>2</v>
      </c>
      <c r="F231" t="s">
        <v>22</v>
      </c>
      <c r="G231" s="1">
        <v>1</v>
      </c>
      <c r="H231" s="1">
        <v>1</v>
      </c>
      <c r="I231" s="1">
        <v>1</v>
      </c>
      <c r="J231" t="s">
        <v>44</v>
      </c>
      <c r="K231" s="1">
        <v>1</v>
      </c>
      <c r="L231" s="1">
        <v>1</v>
      </c>
      <c r="M231" s="1">
        <v>1</v>
      </c>
    </row>
    <row r="232" spans="1:13" x14ac:dyDescent="0.3">
      <c r="A232" t="s">
        <v>298</v>
      </c>
      <c r="B232" t="s">
        <v>225</v>
      </c>
      <c r="C232" t="s">
        <v>226</v>
      </c>
      <c r="D232" t="s">
        <v>86</v>
      </c>
      <c r="E232">
        <v>2</v>
      </c>
      <c r="F232" t="s">
        <v>24</v>
      </c>
      <c r="G232" s="1">
        <v>1</v>
      </c>
      <c r="H232" s="1">
        <v>1</v>
      </c>
      <c r="I232" s="1">
        <v>1</v>
      </c>
      <c r="J232" t="s">
        <v>44</v>
      </c>
      <c r="K232" s="1">
        <v>1</v>
      </c>
      <c r="L232" s="1">
        <v>1</v>
      </c>
      <c r="M232" s="1">
        <v>1</v>
      </c>
    </row>
    <row r="233" spans="1:13" x14ac:dyDescent="0.3">
      <c r="A233" t="s">
        <v>299</v>
      </c>
      <c r="B233" t="s">
        <v>225</v>
      </c>
      <c r="C233" t="s">
        <v>226</v>
      </c>
      <c r="D233" t="s">
        <v>86</v>
      </c>
      <c r="E233">
        <v>2</v>
      </c>
      <c r="F233" t="s">
        <v>26</v>
      </c>
      <c r="G233" s="1">
        <v>1</v>
      </c>
      <c r="H233" s="1">
        <v>1</v>
      </c>
      <c r="I233" s="1">
        <v>1</v>
      </c>
      <c r="J233" t="s">
        <v>44</v>
      </c>
      <c r="K233" s="1">
        <v>1</v>
      </c>
      <c r="L233" s="1">
        <v>1</v>
      </c>
      <c r="M233" s="1">
        <v>1</v>
      </c>
    </row>
    <row r="234" spans="1:13" x14ac:dyDescent="0.3">
      <c r="A234" t="s">
        <v>300</v>
      </c>
      <c r="B234" t="s">
        <v>225</v>
      </c>
      <c r="C234" t="s">
        <v>226</v>
      </c>
      <c r="D234" t="s">
        <v>86</v>
      </c>
      <c r="E234">
        <v>2</v>
      </c>
      <c r="F234" t="s">
        <v>28</v>
      </c>
      <c r="G234" s="1">
        <v>1</v>
      </c>
      <c r="H234" s="1">
        <v>1</v>
      </c>
      <c r="I234" s="1">
        <v>1</v>
      </c>
      <c r="J234" t="s">
        <v>44</v>
      </c>
      <c r="K234" s="1">
        <v>1</v>
      </c>
      <c r="L234" s="1">
        <v>1</v>
      </c>
      <c r="M234" s="1">
        <v>1</v>
      </c>
    </row>
    <row r="235" spans="1:13" x14ac:dyDescent="0.3">
      <c r="A235" t="s">
        <v>301</v>
      </c>
      <c r="B235" t="s">
        <v>225</v>
      </c>
      <c r="C235" t="s">
        <v>226</v>
      </c>
      <c r="D235" t="s">
        <v>86</v>
      </c>
      <c r="E235">
        <v>2</v>
      </c>
      <c r="F235" t="s">
        <v>30</v>
      </c>
      <c r="G235" s="1">
        <v>1</v>
      </c>
      <c r="H235" s="1">
        <v>1</v>
      </c>
      <c r="J235" t="s">
        <v>44</v>
      </c>
      <c r="K235" s="1">
        <v>1</v>
      </c>
      <c r="L235" s="1">
        <v>1</v>
      </c>
    </row>
    <row r="236" spans="1:13" x14ac:dyDescent="0.3">
      <c r="A236" t="s">
        <v>302</v>
      </c>
      <c r="B236" t="s">
        <v>225</v>
      </c>
      <c r="C236" t="s">
        <v>226</v>
      </c>
      <c r="D236" t="s">
        <v>86</v>
      </c>
      <c r="E236">
        <v>2</v>
      </c>
      <c r="F236" t="s">
        <v>32</v>
      </c>
      <c r="G236" s="1">
        <v>1</v>
      </c>
      <c r="H236" s="1">
        <v>1</v>
      </c>
      <c r="I236" s="1">
        <v>1</v>
      </c>
      <c r="J236" t="s">
        <v>44</v>
      </c>
      <c r="K236" s="1">
        <v>1</v>
      </c>
      <c r="L236" s="1">
        <v>1</v>
      </c>
      <c r="M236" s="1">
        <v>1</v>
      </c>
    </row>
    <row r="237" spans="1:13" x14ac:dyDescent="0.3">
      <c r="A237" t="s">
        <v>303</v>
      </c>
      <c r="B237" t="s">
        <v>225</v>
      </c>
      <c r="C237" t="s">
        <v>226</v>
      </c>
      <c r="D237" t="s">
        <v>86</v>
      </c>
      <c r="E237">
        <v>2</v>
      </c>
      <c r="F237" t="s">
        <v>34</v>
      </c>
      <c r="J237" t="s">
        <v>44</v>
      </c>
      <c r="K237" s="1">
        <v>1</v>
      </c>
      <c r="L237" s="1">
        <v>1</v>
      </c>
    </row>
    <row r="238" spans="1:13" x14ac:dyDescent="0.3">
      <c r="A238" t="s">
        <v>304</v>
      </c>
      <c r="B238" t="s">
        <v>225</v>
      </c>
      <c r="C238" t="s">
        <v>226</v>
      </c>
      <c r="D238" t="s">
        <v>86</v>
      </c>
      <c r="E238">
        <v>2</v>
      </c>
      <c r="F238" t="s">
        <v>36</v>
      </c>
      <c r="J238" t="s">
        <v>44</v>
      </c>
      <c r="K238" s="1">
        <v>1</v>
      </c>
      <c r="L238" s="1">
        <v>1</v>
      </c>
    </row>
    <row r="239" spans="1:13" x14ac:dyDescent="0.3">
      <c r="A239" t="s">
        <v>305</v>
      </c>
      <c r="B239" t="s">
        <v>225</v>
      </c>
      <c r="C239" t="s">
        <v>226</v>
      </c>
      <c r="D239" t="s">
        <v>86</v>
      </c>
      <c r="E239">
        <v>2</v>
      </c>
      <c r="F239" t="s">
        <v>38</v>
      </c>
      <c r="J239" t="s">
        <v>44</v>
      </c>
      <c r="K239" s="1">
        <v>1</v>
      </c>
      <c r="L239" s="1">
        <v>1</v>
      </c>
    </row>
    <row r="240" spans="1:13" x14ac:dyDescent="0.3">
      <c r="A240" t="s">
        <v>306</v>
      </c>
      <c r="B240" t="s">
        <v>225</v>
      </c>
      <c r="C240" t="s">
        <v>226</v>
      </c>
      <c r="D240" t="s">
        <v>86</v>
      </c>
      <c r="E240">
        <v>2</v>
      </c>
      <c r="F240" t="s">
        <v>40</v>
      </c>
      <c r="J240" t="s">
        <v>44</v>
      </c>
      <c r="K240" s="1">
        <v>1</v>
      </c>
      <c r="L240" s="1">
        <v>1</v>
      </c>
    </row>
    <row r="241" spans="1:13" x14ac:dyDescent="0.3">
      <c r="A241" t="s">
        <v>307</v>
      </c>
      <c r="B241" t="s">
        <v>225</v>
      </c>
      <c r="C241" t="s">
        <v>226</v>
      </c>
      <c r="D241" t="s">
        <v>86</v>
      </c>
      <c r="E241">
        <v>2</v>
      </c>
      <c r="F241" t="s">
        <v>64</v>
      </c>
      <c r="J241" t="s">
        <v>44</v>
      </c>
      <c r="K241" s="1">
        <v>1</v>
      </c>
      <c r="L241" s="1">
        <v>1</v>
      </c>
    </row>
    <row r="242" spans="1:13" x14ac:dyDescent="0.3">
      <c r="A242" t="s">
        <v>308</v>
      </c>
      <c r="B242" t="s">
        <v>225</v>
      </c>
      <c r="C242" t="s">
        <v>226</v>
      </c>
      <c r="D242" t="s">
        <v>86</v>
      </c>
      <c r="E242">
        <v>2</v>
      </c>
      <c r="F242" t="s">
        <v>66</v>
      </c>
      <c r="J242" t="s">
        <v>44</v>
      </c>
      <c r="K242" s="1">
        <v>1</v>
      </c>
      <c r="L242" s="1">
        <v>1</v>
      </c>
    </row>
    <row r="243" spans="1:13" x14ac:dyDescent="0.3">
      <c r="A243" t="s">
        <v>309</v>
      </c>
      <c r="B243" t="s">
        <v>225</v>
      </c>
      <c r="C243" t="s">
        <v>226</v>
      </c>
      <c r="D243" t="s">
        <v>86</v>
      </c>
      <c r="E243">
        <v>2</v>
      </c>
      <c r="F243" t="s">
        <v>68</v>
      </c>
      <c r="J243" t="s">
        <v>44</v>
      </c>
      <c r="K243" s="1">
        <v>1</v>
      </c>
      <c r="L243" s="1">
        <v>1</v>
      </c>
    </row>
    <row r="244" spans="1:13" x14ac:dyDescent="0.3">
      <c r="A244" t="s">
        <v>310</v>
      </c>
      <c r="B244" t="s">
        <v>225</v>
      </c>
      <c r="C244" t="s">
        <v>226</v>
      </c>
      <c r="D244" t="s">
        <v>86</v>
      </c>
      <c r="E244">
        <v>2</v>
      </c>
      <c r="F244" t="s">
        <v>70</v>
      </c>
      <c r="J244" t="s">
        <v>44</v>
      </c>
      <c r="K244" s="1">
        <v>1</v>
      </c>
      <c r="L244" s="1">
        <v>1</v>
      </c>
    </row>
    <row r="245" spans="1:13" x14ac:dyDescent="0.3">
      <c r="A245" t="s">
        <v>311</v>
      </c>
      <c r="B245" t="s">
        <v>225</v>
      </c>
      <c r="C245" t="s">
        <v>226</v>
      </c>
      <c r="D245" t="s">
        <v>86</v>
      </c>
      <c r="E245">
        <v>2</v>
      </c>
      <c r="F245" t="s">
        <v>72</v>
      </c>
      <c r="J245" t="s">
        <v>44</v>
      </c>
      <c r="K245" s="1">
        <v>1</v>
      </c>
      <c r="L245" s="1">
        <v>1</v>
      </c>
    </row>
    <row r="246" spans="1:13" x14ac:dyDescent="0.3">
      <c r="A246" t="s">
        <v>312</v>
      </c>
      <c r="B246" t="s">
        <v>225</v>
      </c>
      <c r="C246" t="s">
        <v>226</v>
      </c>
      <c r="D246" t="s">
        <v>86</v>
      </c>
      <c r="E246">
        <v>2</v>
      </c>
      <c r="F246" t="s">
        <v>74</v>
      </c>
      <c r="G246" s="1">
        <v>1</v>
      </c>
      <c r="H246" s="1">
        <v>1</v>
      </c>
      <c r="I246" s="1">
        <v>1</v>
      </c>
      <c r="J246" t="s">
        <v>44</v>
      </c>
      <c r="K246" s="1">
        <v>1</v>
      </c>
      <c r="L246" s="1">
        <v>1</v>
      </c>
      <c r="M246" s="1">
        <v>1</v>
      </c>
    </row>
    <row r="247" spans="1:13" x14ac:dyDescent="0.3">
      <c r="A247" t="s">
        <v>313</v>
      </c>
      <c r="B247" t="s">
        <v>225</v>
      </c>
      <c r="C247" t="s">
        <v>226</v>
      </c>
      <c r="D247" t="s">
        <v>86</v>
      </c>
      <c r="E247">
        <v>2</v>
      </c>
      <c r="F247" t="s">
        <v>76</v>
      </c>
      <c r="G247" s="1">
        <v>1</v>
      </c>
      <c r="H247" s="1">
        <v>1</v>
      </c>
      <c r="I247" s="1">
        <v>1</v>
      </c>
      <c r="J247" t="s">
        <v>44</v>
      </c>
      <c r="K247" s="1">
        <v>1</v>
      </c>
      <c r="L247" s="1">
        <v>1</v>
      </c>
      <c r="M247" s="1">
        <v>1</v>
      </c>
    </row>
    <row r="248" spans="1:13" x14ac:dyDescent="0.3">
      <c r="A248" t="s">
        <v>314</v>
      </c>
      <c r="B248" t="s">
        <v>225</v>
      </c>
      <c r="C248" t="s">
        <v>226</v>
      </c>
      <c r="D248" t="s">
        <v>315</v>
      </c>
      <c r="E248">
        <v>2</v>
      </c>
      <c r="F248" t="s">
        <v>17</v>
      </c>
      <c r="G248" s="1">
        <v>1</v>
      </c>
      <c r="H248" s="1">
        <v>1</v>
      </c>
      <c r="I248" s="1">
        <v>1</v>
      </c>
      <c r="J248" t="s">
        <v>44</v>
      </c>
      <c r="K248" s="1">
        <v>1</v>
      </c>
      <c r="L248" s="1">
        <v>1</v>
      </c>
      <c r="M248" s="1">
        <v>1</v>
      </c>
    </row>
    <row r="249" spans="1:13" x14ac:dyDescent="0.3">
      <c r="A249" t="s">
        <v>316</v>
      </c>
      <c r="B249" t="s">
        <v>225</v>
      </c>
      <c r="C249" t="s">
        <v>226</v>
      </c>
      <c r="D249" t="s">
        <v>315</v>
      </c>
      <c r="E249">
        <v>2</v>
      </c>
      <c r="F249" t="s">
        <v>20</v>
      </c>
      <c r="G249" s="1">
        <v>1</v>
      </c>
      <c r="H249" s="1">
        <v>1</v>
      </c>
      <c r="I249" s="1">
        <v>1</v>
      </c>
      <c r="J249" t="s">
        <v>44</v>
      </c>
      <c r="K249" s="1">
        <v>1</v>
      </c>
      <c r="L249" s="1">
        <v>1</v>
      </c>
      <c r="M249" s="1">
        <v>1</v>
      </c>
    </row>
    <row r="250" spans="1:13" x14ac:dyDescent="0.3">
      <c r="A250" t="s">
        <v>317</v>
      </c>
      <c r="B250" t="s">
        <v>225</v>
      </c>
      <c r="C250" t="s">
        <v>226</v>
      </c>
      <c r="D250" t="s">
        <v>315</v>
      </c>
      <c r="E250">
        <v>2</v>
      </c>
      <c r="F250" t="s">
        <v>22</v>
      </c>
      <c r="G250" s="1">
        <v>1</v>
      </c>
      <c r="H250" s="1">
        <v>1</v>
      </c>
      <c r="I250" s="1">
        <v>1</v>
      </c>
      <c r="J250" t="s">
        <v>44</v>
      </c>
      <c r="K250" s="1">
        <v>1</v>
      </c>
      <c r="L250" s="1">
        <v>1</v>
      </c>
      <c r="M250" s="1">
        <v>1</v>
      </c>
    </row>
    <row r="251" spans="1:13" x14ac:dyDescent="0.3">
      <c r="A251" t="s">
        <v>318</v>
      </c>
      <c r="B251" t="s">
        <v>225</v>
      </c>
      <c r="C251" t="s">
        <v>226</v>
      </c>
      <c r="D251" t="s">
        <v>315</v>
      </c>
      <c r="E251">
        <v>2</v>
      </c>
      <c r="F251" t="s">
        <v>24</v>
      </c>
      <c r="G251" s="1">
        <v>1</v>
      </c>
      <c r="H251" s="1">
        <v>1</v>
      </c>
      <c r="I251" s="1">
        <v>1</v>
      </c>
      <c r="J251" t="s">
        <v>44</v>
      </c>
      <c r="K251" s="1">
        <v>1</v>
      </c>
      <c r="L251" s="1">
        <v>1</v>
      </c>
      <c r="M251" s="1">
        <v>1</v>
      </c>
    </row>
    <row r="252" spans="1:13" x14ac:dyDescent="0.3">
      <c r="A252" t="s">
        <v>319</v>
      </c>
      <c r="B252" t="s">
        <v>225</v>
      </c>
      <c r="C252" t="s">
        <v>226</v>
      </c>
      <c r="D252" t="s">
        <v>315</v>
      </c>
      <c r="E252">
        <v>2</v>
      </c>
      <c r="F252" t="s">
        <v>26</v>
      </c>
      <c r="G252" s="1">
        <v>1</v>
      </c>
      <c r="H252" s="1">
        <v>1</v>
      </c>
      <c r="I252" s="1">
        <v>1</v>
      </c>
      <c r="J252" t="s">
        <v>44</v>
      </c>
      <c r="K252" s="1">
        <v>1</v>
      </c>
      <c r="L252" s="1">
        <v>1</v>
      </c>
      <c r="M252" s="1">
        <v>1</v>
      </c>
    </row>
    <row r="253" spans="1:13" x14ac:dyDescent="0.3">
      <c r="A253" t="s">
        <v>320</v>
      </c>
      <c r="B253" t="s">
        <v>225</v>
      </c>
      <c r="C253" t="s">
        <v>226</v>
      </c>
      <c r="D253" t="s">
        <v>315</v>
      </c>
      <c r="E253">
        <v>2</v>
      </c>
      <c r="F253" t="s">
        <v>28</v>
      </c>
      <c r="G253" s="1">
        <v>1</v>
      </c>
      <c r="H253" s="1">
        <v>1</v>
      </c>
      <c r="I253" s="1">
        <v>1</v>
      </c>
      <c r="J253" t="s">
        <v>44</v>
      </c>
      <c r="K253" s="1">
        <v>1</v>
      </c>
      <c r="L253" s="1">
        <v>1</v>
      </c>
      <c r="M253" s="1">
        <v>1</v>
      </c>
    </row>
    <row r="254" spans="1:13" x14ac:dyDescent="0.3">
      <c r="A254" t="s">
        <v>321</v>
      </c>
      <c r="B254" t="s">
        <v>225</v>
      </c>
      <c r="C254" t="s">
        <v>226</v>
      </c>
      <c r="D254" t="s">
        <v>315</v>
      </c>
      <c r="E254">
        <v>2</v>
      </c>
      <c r="F254" t="s">
        <v>30</v>
      </c>
      <c r="G254" s="1">
        <v>1</v>
      </c>
      <c r="H254" s="1">
        <v>1</v>
      </c>
      <c r="I254" s="1">
        <v>1</v>
      </c>
      <c r="J254" t="s">
        <v>44</v>
      </c>
      <c r="K254" s="1">
        <v>1</v>
      </c>
      <c r="L254" s="1">
        <v>1</v>
      </c>
      <c r="M254" s="1">
        <v>1</v>
      </c>
    </row>
    <row r="255" spans="1:13" x14ac:dyDescent="0.3">
      <c r="A255" t="s">
        <v>322</v>
      </c>
      <c r="B255" t="s">
        <v>225</v>
      </c>
      <c r="C255" t="s">
        <v>226</v>
      </c>
      <c r="D255" t="s">
        <v>315</v>
      </c>
      <c r="E255">
        <v>2</v>
      </c>
      <c r="F255" t="s">
        <v>32</v>
      </c>
      <c r="J255" t="s">
        <v>44</v>
      </c>
    </row>
    <row r="256" spans="1:13" x14ac:dyDescent="0.3">
      <c r="A256" t="s">
        <v>323</v>
      </c>
      <c r="B256" t="s">
        <v>225</v>
      </c>
      <c r="C256" t="s">
        <v>226</v>
      </c>
      <c r="D256" t="s">
        <v>315</v>
      </c>
      <c r="E256">
        <v>2</v>
      </c>
      <c r="F256" t="s">
        <v>34</v>
      </c>
      <c r="J256" t="s">
        <v>44</v>
      </c>
    </row>
    <row r="257" spans="1:13" x14ac:dyDescent="0.3">
      <c r="A257" t="s">
        <v>324</v>
      </c>
      <c r="B257" t="s">
        <v>225</v>
      </c>
      <c r="C257" t="s">
        <v>325</v>
      </c>
      <c r="D257" t="s">
        <v>326</v>
      </c>
      <c r="E257">
        <v>6</v>
      </c>
      <c r="F257" t="s">
        <v>17</v>
      </c>
      <c r="G257" s="1">
        <v>1</v>
      </c>
      <c r="H257" s="1">
        <v>1</v>
      </c>
      <c r="I257" s="1">
        <v>1</v>
      </c>
      <c r="J257" t="s">
        <v>44</v>
      </c>
      <c r="K257" s="1">
        <v>1</v>
      </c>
      <c r="L257" s="1">
        <v>1</v>
      </c>
      <c r="M257" s="1">
        <v>1</v>
      </c>
    </row>
    <row r="258" spans="1:13" x14ac:dyDescent="0.3">
      <c r="A258" t="s">
        <v>327</v>
      </c>
      <c r="B258" t="s">
        <v>225</v>
      </c>
      <c r="C258" t="s">
        <v>325</v>
      </c>
      <c r="D258" t="s">
        <v>326</v>
      </c>
      <c r="E258">
        <v>6</v>
      </c>
      <c r="F258" t="s">
        <v>20</v>
      </c>
      <c r="G258" s="1">
        <v>1</v>
      </c>
      <c r="H258" s="1">
        <v>1</v>
      </c>
      <c r="I258" s="1">
        <v>1</v>
      </c>
      <c r="J258" t="s">
        <v>44</v>
      </c>
      <c r="K258" s="1">
        <v>1</v>
      </c>
      <c r="L258" s="1">
        <v>1</v>
      </c>
      <c r="M258" s="1">
        <v>1</v>
      </c>
    </row>
    <row r="259" spans="1:13" x14ac:dyDescent="0.3">
      <c r="A259" t="s">
        <v>328</v>
      </c>
      <c r="B259" t="s">
        <v>225</v>
      </c>
      <c r="C259" t="s">
        <v>325</v>
      </c>
      <c r="D259" t="s">
        <v>326</v>
      </c>
      <c r="E259">
        <v>6</v>
      </c>
      <c r="F259" t="s">
        <v>22</v>
      </c>
      <c r="G259" s="1">
        <v>1</v>
      </c>
      <c r="H259" s="1">
        <v>1</v>
      </c>
      <c r="I259" s="1">
        <v>1</v>
      </c>
      <c r="J259" t="s">
        <v>44</v>
      </c>
      <c r="K259" s="1">
        <v>1</v>
      </c>
      <c r="L259" s="1">
        <v>1</v>
      </c>
      <c r="M259" s="1">
        <v>1</v>
      </c>
    </row>
    <row r="260" spans="1:13" x14ac:dyDescent="0.3">
      <c r="A260" t="s">
        <v>329</v>
      </c>
      <c r="B260" t="s">
        <v>225</v>
      </c>
      <c r="C260" t="s">
        <v>325</v>
      </c>
      <c r="D260" t="s">
        <v>326</v>
      </c>
      <c r="E260">
        <v>6</v>
      </c>
      <c r="F260" t="s">
        <v>24</v>
      </c>
      <c r="G260" s="1">
        <v>1</v>
      </c>
      <c r="H260" s="1">
        <v>1</v>
      </c>
      <c r="I260" s="1">
        <v>1</v>
      </c>
      <c r="J260" t="s">
        <v>44</v>
      </c>
      <c r="K260" s="1">
        <v>1</v>
      </c>
      <c r="L260" s="1">
        <v>1</v>
      </c>
      <c r="M260" s="1">
        <v>1</v>
      </c>
    </row>
    <row r="261" spans="1:13" x14ac:dyDescent="0.3">
      <c r="A261" t="s">
        <v>330</v>
      </c>
      <c r="B261" t="s">
        <v>225</v>
      </c>
      <c r="C261" t="s">
        <v>325</v>
      </c>
      <c r="D261" t="s">
        <v>326</v>
      </c>
      <c r="E261">
        <v>6</v>
      </c>
      <c r="F261" t="s">
        <v>26</v>
      </c>
      <c r="G261" s="1">
        <v>1</v>
      </c>
      <c r="H261" s="1">
        <v>1</v>
      </c>
      <c r="I261" s="1">
        <v>1</v>
      </c>
      <c r="J261" t="s">
        <v>44</v>
      </c>
      <c r="K261" s="1">
        <v>1</v>
      </c>
      <c r="L261" s="1">
        <v>1</v>
      </c>
      <c r="M261" s="1">
        <v>1</v>
      </c>
    </row>
    <row r="262" spans="1:13" x14ac:dyDescent="0.3">
      <c r="A262" t="s">
        <v>331</v>
      </c>
      <c r="B262" t="s">
        <v>225</v>
      </c>
      <c r="C262" t="s">
        <v>325</v>
      </c>
      <c r="D262" t="s">
        <v>326</v>
      </c>
      <c r="E262">
        <v>6</v>
      </c>
      <c r="F262" t="s">
        <v>28</v>
      </c>
      <c r="G262" s="1">
        <v>1</v>
      </c>
      <c r="H262" s="1">
        <v>1</v>
      </c>
      <c r="I262" s="1">
        <v>1</v>
      </c>
      <c r="J262" t="s">
        <v>44</v>
      </c>
      <c r="K262" s="1">
        <v>1</v>
      </c>
      <c r="L262" s="1">
        <v>1</v>
      </c>
      <c r="M262" s="1">
        <v>1</v>
      </c>
    </row>
    <row r="263" spans="1:13" x14ac:dyDescent="0.3">
      <c r="A263" t="s">
        <v>332</v>
      </c>
      <c r="B263" t="s">
        <v>225</v>
      </c>
      <c r="C263" t="s">
        <v>325</v>
      </c>
      <c r="D263" t="s">
        <v>326</v>
      </c>
      <c r="E263">
        <v>6</v>
      </c>
      <c r="F263" t="s">
        <v>30</v>
      </c>
      <c r="G263" s="1">
        <v>1</v>
      </c>
      <c r="H263" s="1">
        <v>1</v>
      </c>
      <c r="I263" s="1">
        <v>1</v>
      </c>
      <c r="J263" t="s">
        <v>44</v>
      </c>
      <c r="K263" s="1">
        <v>1</v>
      </c>
      <c r="L263" s="1">
        <v>1</v>
      </c>
      <c r="M263" s="1">
        <v>1</v>
      </c>
    </row>
    <row r="264" spans="1:13" x14ac:dyDescent="0.3">
      <c r="A264" t="s">
        <v>333</v>
      </c>
      <c r="B264" t="s">
        <v>225</v>
      </c>
      <c r="C264" t="s">
        <v>325</v>
      </c>
      <c r="D264" t="s">
        <v>326</v>
      </c>
      <c r="E264">
        <v>6</v>
      </c>
      <c r="F264" t="s">
        <v>32</v>
      </c>
      <c r="G264" s="1">
        <v>1</v>
      </c>
      <c r="H264" s="1">
        <v>1</v>
      </c>
      <c r="I264" s="1">
        <v>1</v>
      </c>
      <c r="J264" t="s">
        <v>44</v>
      </c>
      <c r="K264" s="1">
        <v>1</v>
      </c>
      <c r="L264" s="1">
        <v>1</v>
      </c>
      <c r="M264" s="1">
        <v>1</v>
      </c>
    </row>
    <row r="265" spans="1:13" x14ac:dyDescent="0.3">
      <c r="A265" t="s">
        <v>334</v>
      </c>
      <c r="B265" t="s">
        <v>225</v>
      </c>
      <c r="C265" t="s">
        <v>325</v>
      </c>
      <c r="D265" t="s">
        <v>326</v>
      </c>
      <c r="E265">
        <v>6</v>
      </c>
      <c r="F265" t="s">
        <v>34</v>
      </c>
      <c r="G265" s="1">
        <v>1</v>
      </c>
      <c r="H265" s="1">
        <v>1</v>
      </c>
      <c r="I265" s="1">
        <v>1</v>
      </c>
      <c r="J265" t="s">
        <v>44</v>
      </c>
      <c r="K265" s="1">
        <v>1</v>
      </c>
      <c r="L265" s="1">
        <v>1</v>
      </c>
      <c r="M265" s="1">
        <v>1</v>
      </c>
    </row>
    <row r="266" spans="1:13" x14ac:dyDescent="0.3">
      <c r="A266" t="s">
        <v>335</v>
      </c>
      <c r="B266" t="s">
        <v>225</v>
      </c>
      <c r="C266" t="s">
        <v>325</v>
      </c>
      <c r="D266" t="s">
        <v>326</v>
      </c>
      <c r="E266">
        <v>6</v>
      </c>
      <c r="F266" t="s">
        <v>36</v>
      </c>
      <c r="G266" s="1">
        <v>1</v>
      </c>
      <c r="H266" s="1">
        <v>1</v>
      </c>
      <c r="I266" s="1">
        <v>1</v>
      </c>
      <c r="J266" t="s">
        <v>44</v>
      </c>
      <c r="K266" s="1">
        <v>1</v>
      </c>
      <c r="L266" s="1">
        <v>1</v>
      </c>
      <c r="M266" s="1">
        <v>1</v>
      </c>
    </row>
    <row r="267" spans="1:13" x14ac:dyDescent="0.3">
      <c r="A267" t="s">
        <v>336</v>
      </c>
      <c r="B267" t="s">
        <v>225</v>
      </c>
      <c r="C267" t="s">
        <v>325</v>
      </c>
      <c r="D267" t="s">
        <v>326</v>
      </c>
      <c r="E267">
        <v>6</v>
      </c>
      <c r="F267" t="s">
        <v>38</v>
      </c>
      <c r="G267" s="1">
        <v>1</v>
      </c>
      <c r="H267" s="1">
        <v>1</v>
      </c>
      <c r="I267" s="1">
        <v>1</v>
      </c>
      <c r="J267" t="s">
        <v>44</v>
      </c>
      <c r="K267" s="1">
        <v>1</v>
      </c>
      <c r="L267" s="1">
        <v>1</v>
      </c>
      <c r="M267" s="1">
        <v>1</v>
      </c>
    </row>
    <row r="268" spans="1:13" x14ac:dyDescent="0.3">
      <c r="A268" t="s">
        <v>337</v>
      </c>
      <c r="B268" t="s">
        <v>225</v>
      </c>
      <c r="C268" t="s">
        <v>325</v>
      </c>
      <c r="D268" t="s">
        <v>326</v>
      </c>
      <c r="E268">
        <v>6</v>
      </c>
      <c r="F268" t="s">
        <v>40</v>
      </c>
      <c r="G268" s="1">
        <v>1</v>
      </c>
      <c r="H268" s="1">
        <v>1</v>
      </c>
      <c r="I268" s="1">
        <v>1</v>
      </c>
      <c r="J268" t="s">
        <v>44</v>
      </c>
      <c r="K268" s="1">
        <v>1</v>
      </c>
      <c r="L268" s="1">
        <v>1</v>
      </c>
      <c r="M268" s="1">
        <v>1</v>
      </c>
    </row>
    <row r="269" spans="1:13" x14ac:dyDescent="0.3">
      <c r="A269" t="s">
        <v>338</v>
      </c>
      <c r="B269" t="s">
        <v>225</v>
      </c>
      <c r="C269" t="s">
        <v>325</v>
      </c>
      <c r="D269" t="s">
        <v>326</v>
      </c>
      <c r="E269">
        <v>6</v>
      </c>
      <c r="F269" t="s">
        <v>64</v>
      </c>
      <c r="G269" s="1">
        <v>1</v>
      </c>
      <c r="H269" s="1">
        <v>1</v>
      </c>
      <c r="I269" s="1">
        <v>1</v>
      </c>
      <c r="J269" t="s">
        <v>44</v>
      </c>
      <c r="K269" s="1">
        <v>1</v>
      </c>
      <c r="L269" s="1">
        <v>1</v>
      </c>
      <c r="M269" s="1">
        <v>1</v>
      </c>
    </row>
    <row r="270" spans="1:13" x14ac:dyDescent="0.3">
      <c r="A270" t="s">
        <v>339</v>
      </c>
      <c r="B270" t="s">
        <v>225</v>
      </c>
      <c r="C270" t="s">
        <v>325</v>
      </c>
      <c r="D270" t="s">
        <v>326</v>
      </c>
      <c r="E270">
        <v>6</v>
      </c>
      <c r="F270" t="s">
        <v>66</v>
      </c>
      <c r="G270" s="1">
        <v>1</v>
      </c>
      <c r="H270" s="1">
        <v>1</v>
      </c>
      <c r="I270" s="1">
        <v>1</v>
      </c>
      <c r="J270" t="s">
        <v>44</v>
      </c>
      <c r="K270" s="1">
        <v>1</v>
      </c>
      <c r="L270" s="1">
        <v>1</v>
      </c>
      <c r="M270" s="1">
        <v>1</v>
      </c>
    </row>
    <row r="271" spans="1:13" x14ac:dyDescent="0.3">
      <c r="A271" t="s">
        <v>340</v>
      </c>
      <c r="B271" t="s">
        <v>225</v>
      </c>
      <c r="C271" t="s">
        <v>325</v>
      </c>
      <c r="D271" t="s">
        <v>326</v>
      </c>
      <c r="E271">
        <v>6</v>
      </c>
      <c r="F271" t="s">
        <v>68</v>
      </c>
      <c r="G271" s="1">
        <v>1</v>
      </c>
      <c r="H271" s="1">
        <v>1</v>
      </c>
      <c r="I271" s="1">
        <v>1</v>
      </c>
      <c r="J271" t="s">
        <v>44</v>
      </c>
      <c r="K271" s="1">
        <v>1</v>
      </c>
      <c r="L271" s="1">
        <v>1</v>
      </c>
      <c r="M271" s="1">
        <v>1</v>
      </c>
    </row>
    <row r="272" spans="1:13" x14ac:dyDescent="0.3">
      <c r="A272" t="s">
        <v>341</v>
      </c>
      <c r="B272" t="s">
        <v>225</v>
      </c>
      <c r="C272" t="s">
        <v>325</v>
      </c>
      <c r="D272" t="s">
        <v>326</v>
      </c>
      <c r="E272">
        <v>6</v>
      </c>
      <c r="F272" t="s">
        <v>70</v>
      </c>
      <c r="G272" s="1">
        <v>1</v>
      </c>
      <c r="H272" s="1">
        <v>1</v>
      </c>
      <c r="I272" s="1">
        <v>1</v>
      </c>
      <c r="J272" t="s">
        <v>44</v>
      </c>
      <c r="K272" s="1">
        <v>1</v>
      </c>
      <c r="L272" s="1">
        <v>1</v>
      </c>
      <c r="M272" s="1">
        <v>1</v>
      </c>
    </row>
    <row r="273" spans="1:13" x14ac:dyDescent="0.3">
      <c r="A273" t="s">
        <v>342</v>
      </c>
      <c r="B273" t="s">
        <v>225</v>
      </c>
      <c r="C273" t="s">
        <v>325</v>
      </c>
      <c r="D273" t="s">
        <v>326</v>
      </c>
      <c r="E273">
        <v>6</v>
      </c>
      <c r="F273" t="s">
        <v>72</v>
      </c>
      <c r="G273" s="1">
        <v>1</v>
      </c>
      <c r="H273" s="1">
        <v>1</v>
      </c>
      <c r="I273" s="1">
        <v>1</v>
      </c>
      <c r="J273" t="s">
        <v>44</v>
      </c>
      <c r="K273" s="1">
        <v>1</v>
      </c>
      <c r="L273" s="1">
        <v>1</v>
      </c>
      <c r="M273" s="1">
        <v>1</v>
      </c>
    </row>
    <row r="274" spans="1:13" x14ac:dyDescent="0.3">
      <c r="A274" t="s">
        <v>343</v>
      </c>
      <c r="B274" t="s">
        <v>225</v>
      </c>
      <c r="C274" t="s">
        <v>325</v>
      </c>
      <c r="D274" t="s">
        <v>326</v>
      </c>
      <c r="E274">
        <v>6</v>
      </c>
      <c r="F274" t="s">
        <v>74</v>
      </c>
      <c r="G274" s="1">
        <v>1</v>
      </c>
      <c r="H274" s="1">
        <v>1</v>
      </c>
      <c r="I274" s="1">
        <v>1</v>
      </c>
      <c r="J274" t="s">
        <v>44</v>
      </c>
      <c r="K274" s="1">
        <v>1</v>
      </c>
      <c r="L274" s="1">
        <v>1</v>
      </c>
      <c r="M274" s="1">
        <v>1</v>
      </c>
    </row>
    <row r="275" spans="1:13" x14ac:dyDescent="0.3">
      <c r="A275" t="s">
        <v>344</v>
      </c>
      <c r="B275" t="s">
        <v>225</v>
      </c>
      <c r="C275" t="s">
        <v>325</v>
      </c>
      <c r="D275" t="s">
        <v>326</v>
      </c>
      <c r="E275">
        <v>6</v>
      </c>
      <c r="F275" t="s">
        <v>76</v>
      </c>
      <c r="G275" s="1">
        <v>1</v>
      </c>
      <c r="H275" s="1">
        <v>1</v>
      </c>
      <c r="I275" s="1">
        <v>1</v>
      </c>
      <c r="J275" t="s">
        <v>44</v>
      </c>
      <c r="K275" s="1">
        <v>1</v>
      </c>
      <c r="L275" s="1">
        <v>1</v>
      </c>
      <c r="M275" s="1">
        <v>1</v>
      </c>
    </row>
    <row r="276" spans="1:13" x14ac:dyDescent="0.3">
      <c r="A276" t="s">
        <v>345</v>
      </c>
      <c r="B276" t="s">
        <v>225</v>
      </c>
      <c r="C276" t="s">
        <v>325</v>
      </c>
      <c r="D276" t="s">
        <v>326</v>
      </c>
      <c r="E276">
        <v>6</v>
      </c>
      <c r="F276" t="s">
        <v>78</v>
      </c>
      <c r="G276" s="1">
        <v>1</v>
      </c>
      <c r="H276" s="1">
        <v>1</v>
      </c>
      <c r="I276" s="1">
        <v>1</v>
      </c>
      <c r="J276" t="s">
        <v>44</v>
      </c>
      <c r="K276" s="1">
        <v>1</v>
      </c>
      <c r="L276" s="1">
        <v>1</v>
      </c>
      <c r="M276" s="1">
        <v>1</v>
      </c>
    </row>
    <row r="277" spans="1:13" x14ac:dyDescent="0.3">
      <c r="A277" t="s">
        <v>346</v>
      </c>
      <c r="B277" t="s">
        <v>225</v>
      </c>
      <c r="C277" t="s">
        <v>325</v>
      </c>
      <c r="D277" t="s">
        <v>326</v>
      </c>
      <c r="E277">
        <v>6</v>
      </c>
      <c r="F277" t="s">
        <v>80</v>
      </c>
      <c r="G277" s="1">
        <v>1</v>
      </c>
      <c r="H277" s="1">
        <v>1</v>
      </c>
      <c r="I277" s="1">
        <v>1</v>
      </c>
      <c r="J277" t="s">
        <v>44</v>
      </c>
      <c r="K277" s="1">
        <v>1</v>
      </c>
      <c r="L277" s="1">
        <v>1</v>
      </c>
      <c r="M277" s="1">
        <v>1</v>
      </c>
    </row>
    <row r="278" spans="1:13" x14ac:dyDescent="0.3">
      <c r="A278" t="s">
        <v>347</v>
      </c>
      <c r="B278" t="s">
        <v>225</v>
      </c>
      <c r="C278" t="s">
        <v>325</v>
      </c>
      <c r="D278" t="s">
        <v>326</v>
      </c>
      <c r="E278">
        <v>6</v>
      </c>
      <c r="F278" t="s">
        <v>82</v>
      </c>
      <c r="G278" s="1">
        <v>1</v>
      </c>
      <c r="H278" s="1">
        <v>1</v>
      </c>
      <c r="I278" s="1">
        <v>1</v>
      </c>
      <c r="J278" t="s">
        <v>44</v>
      </c>
      <c r="K278" s="1">
        <v>1</v>
      </c>
      <c r="L278" s="1">
        <v>1</v>
      </c>
      <c r="M278" s="1">
        <v>1</v>
      </c>
    </row>
    <row r="279" spans="1:13" x14ac:dyDescent="0.3">
      <c r="A279" t="s">
        <v>348</v>
      </c>
      <c r="B279" t="s">
        <v>225</v>
      </c>
      <c r="C279" t="s">
        <v>325</v>
      </c>
      <c r="D279" t="s">
        <v>326</v>
      </c>
      <c r="E279">
        <v>6</v>
      </c>
      <c r="F279" t="s">
        <v>84</v>
      </c>
      <c r="G279" s="1">
        <v>1</v>
      </c>
      <c r="H279" s="1">
        <v>1</v>
      </c>
      <c r="I279" s="1">
        <v>1</v>
      </c>
      <c r="J279" t="s">
        <v>44</v>
      </c>
      <c r="K279" s="1">
        <v>1</v>
      </c>
      <c r="L279" s="1">
        <v>1</v>
      </c>
      <c r="M279" s="1">
        <v>1</v>
      </c>
    </row>
    <row r="280" spans="1:13" x14ac:dyDescent="0.3">
      <c r="A280" t="s">
        <v>349</v>
      </c>
      <c r="B280" t="s">
        <v>225</v>
      </c>
      <c r="C280" t="s">
        <v>325</v>
      </c>
      <c r="D280" t="s">
        <v>326</v>
      </c>
      <c r="E280">
        <v>6</v>
      </c>
      <c r="F280" t="s">
        <v>181</v>
      </c>
      <c r="G280" s="1">
        <v>1</v>
      </c>
      <c r="H280" s="1">
        <v>1</v>
      </c>
      <c r="I280" s="1">
        <v>1</v>
      </c>
      <c r="J280" t="s">
        <v>44</v>
      </c>
      <c r="K280" s="1">
        <v>1</v>
      </c>
      <c r="L280" s="1">
        <v>1</v>
      </c>
      <c r="M280" s="1">
        <v>1</v>
      </c>
    </row>
    <row r="281" spans="1:13" x14ac:dyDescent="0.3">
      <c r="A281" t="s">
        <v>350</v>
      </c>
      <c r="B281" t="s">
        <v>225</v>
      </c>
      <c r="C281" t="s">
        <v>325</v>
      </c>
      <c r="D281" t="s">
        <v>326</v>
      </c>
      <c r="E281">
        <v>6</v>
      </c>
      <c r="F281" t="s">
        <v>183</v>
      </c>
      <c r="G281" s="1">
        <v>1</v>
      </c>
      <c r="H281" s="1">
        <v>1</v>
      </c>
      <c r="I281" s="1">
        <v>1</v>
      </c>
      <c r="J281" t="s">
        <v>44</v>
      </c>
      <c r="K281" s="1">
        <v>1</v>
      </c>
      <c r="L281" s="1">
        <v>1</v>
      </c>
      <c r="M281" s="1">
        <v>1</v>
      </c>
    </row>
    <row r="282" spans="1:13" x14ac:dyDescent="0.3">
      <c r="A282" t="s">
        <v>351</v>
      </c>
      <c r="B282" t="s">
        <v>225</v>
      </c>
      <c r="C282" t="s">
        <v>325</v>
      </c>
      <c r="D282" t="s">
        <v>326</v>
      </c>
      <c r="E282">
        <v>6</v>
      </c>
      <c r="F282" t="s">
        <v>185</v>
      </c>
      <c r="G282" s="1">
        <v>1</v>
      </c>
      <c r="H282" s="1">
        <v>1</v>
      </c>
      <c r="I282" s="1">
        <v>1</v>
      </c>
      <c r="J282" t="s">
        <v>44</v>
      </c>
      <c r="K282" s="1">
        <v>1</v>
      </c>
      <c r="L282" s="1">
        <v>1</v>
      </c>
      <c r="M282" s="1">
        <v>1</v>
      </c>
    </row>
    <row r="283" spans="1:13" x14ac:dyDescent="0.3">
      <c r="A283" t="s">
        <v>352</v>
      </c>
      <c r="B283" t="s">
        <v>225</v>
      </c>
      <c r="C283" t="s">
        <v>325</v>
      </c>
      <c r="D283" t="s">
        <v>353</v>
      </c>
      <c r="E283">
        <v>6</v>
      </c>
      <c r="F283" t="s">
        <v>17</v>
      </c>
      <c r="G283" s="1">
        <v>1</v>
      </c>
      <c r="H283" s="1">
        <v>1</v>
      </c>
      <c r="I283" s="1">
        <v>1</v>
      </c>
      <c r="J283" t="s">
        <v>44</v>
      </c>
      <c r="K283" s="1">
        <v>1</v>
      </c>
      <c r="L283" s="1">
        <v>1</v>
      </c>
      <c r="M283" s="1">
        <v>1</v>
      </c>
    </row>
    <row r="284" spans="1:13" x14ac:dyDescent="0.3">
      <c r="A284" t="s">
        <v>354</v>
      </c>
      <c r="B284" t="s">
        <v>225</v>
      </c>
      <c r="C284" t="s">
        <v>325</v>
      </c>
      <c r="D284" t="s">
        <v>353</v>
      </c>
      <c r="E284">
        <v>6</v>
      </c>
      <c r="F284" t="s">
        <v>20</v>
      </c>
      <c r="G284" s="1">
        <v>1</v>
      </c>
      <c r="H284" s="1">
        <v>1</v>
      </c>
      <c r="I284" s="1">
        <v>1</v>
      </c>
      <c r="J284" t="s">
        <v>44</v>
      </c>
      <c r="K284" s="1">
        <v>1</v>
      </c>
      <c r="L284" s="1">
        <v>1</v>
      </c>
      <c r="M284" s="1">
        <v>1</v>
      </c>
    </row>
    <row r="285" spans="1:13" x14ac:dyDescent="0.3">
      <c r="A285" t="s">
        <v>355</v>
      </c>
      <c r="B285" t="s">
        <v>225</v>
      </c>
      <c r="C285" t="s">
        <v>325</v>
      </c>
      <c r="D285" t="s">
        <v>353</v>
      </c>
      <c r="E285">
        <v>6</v>
      </c>
      <c r="F285" t="s">
        <v>22</v>
      </c>
      <c r="G285" s="1">
        <v>1</v>
      </c>
      <c r="H285" s="1">
        <v>1</v>
      </c>
      <c r="I285" s="1">
        <v>1</v>
      </c>
      <c r="J285" t="s">
        <v>44</v>
      </c>
      <c r="K285" s="1">
        <v>1</v>
      </c>
      <c r="L285" s="1">
        <v>1</v>
      </c>
      <c r="M285" s="1">
        <v>1</v>
      </c>
    </row>
    <row r="286" spans="1:13" x14ac:dyDescent="0.3">
      <c r="A286" t="s">
        <v>356</v>
      </c>
      <c r="B286" t="s">
        <v>225</v>
      </c>
      <c r="C286" t="s">
        <v>325</v>
      </c>
      <c r="D286" t="s">
        <v>353</v>
      </c>
      <c r="E286">
        <v>6</v>
      </c>
      <c r="F286" t="s">
        <v>24</v>
      </c>
      <c r="G286" s="1">
        <v>1</v>
      </c>
      <c r="H286" s="1">
        <v>1</v>
      </c>
      <c r="I286" s="1">
        <v>1</v>
      </c>
      <c r="J286" t="s">
        <v>44</v>
      </c>
      <c r="K286" s="1">
        <v>1</v>
      </c>
      <c r="L286" s="1">
        <v>1</v>
      </c>
      <c r="M286" s="1">
        <v>1</v>
      </c>
    </row>
    <row r="287" spans="1:13" x14ac:dyDescent="0.3">
      <c r="A287" t="s">
        <v>357</v>
      </c>
      <c r="B287" t="s">
        <v>225</v>
      </c>
      <c r="C287" t="s">
        <v>325</v>
      </c>
      <c r="D287" t="s">
        <v>353</v>
      </c>
      <c r="E287">
        <v>6</v>
      </c>
      <c r="F287" t="s">
        <v>26</v>
      </c>
      <c r="G287" s="1">
        <v>1</v>
      </c>
      <c r="H287" s="1">
        <v>1</v>
      </c>
      <c r="I287" s="1">
        <v>1</v>
      </c>
      <c r="J287" t="s">
        <v>44</v>
      </c>
      <c r="K287" s="1">
        <v>1</v>
      </c>
      <c r="L287" s="1">
        <v>1</v>
      </c>
      <c r="M287" s="1">
        <v>1</v>
      </c>
    </row>
    <row r="288" spans="1:13" x14ac:dyDescent="0.3">
      <c r="A288" t="s">
        <v>358</v>
      </c>
      <c r="B288" t="s">
        <v>225</v>
      </c>
      <c r="C288" t="s">
        <v>325</v>
      </c>
      <c r="D288" t="s">
        <v>353</v>
      </c>
      <c r="E288">
        <v>6</v>
      </c>
      <c r="F288" t="s">
        <v>28</v>
      </c>
      <c r="G288" s="1">
        <v>1</v>
      </c>
      <c r="H288" s="1">
        <v>1</v>
      </c>
      <c r="I288" s="1">
        <v>1</v>
      </c>
      <c r="J288" t="s">
        <v>44</v>
      </c>
      <c r="K288" s="1">
        <v>1</v>
      </c>
      <c r="L288" s="1">
        <v>1</v>
      </c>
      <c r="M288" s="1">
        <v>1</v>
      </c>
    </row>
    <row r="289" spans="1:13" x14ac:dyDescent="0.3">
      <c r="A289" t="s">
        <v>359</v>
      </c>
      <c r="B289" t="s">
        <v>225</v>
      </c>
      <c r="C289" t="s">
        <v>325</v>
      </c>
      <c r="D289" t="s">
        <v>353</v>
      </c>
      <c r="E289">
        <v>6</v>
      </c>
      <c r="F289" t="s">
        <v>30</v>
      </c>
      <c r="G289" s="1">
        <v>1</v>
      </c>
      <c r="H289" s="1">
        <v>1</v>
      </c>
      <c r="I289" s="1">
        <v>1</v>
      </c>
      <c r="J289" t="s">
        <v>44</v>
      </c>
      <c r="K289" s="1">
        <v>1</v>
      </c>
      <c r="L289" s="1">
        <v>1</v>
      </c>
      <c r="M289" s="1">
        <v>1</v>
      </c>
    </row>
    <row r="290" spans="1:13" x14ac:dyDescent="0.3">
      <c r="A290" t="s">
        <v>360</v>
      </c>
      <c r="B290" t="s">
        <v>225</v>
      </c>
      <c r="C290" t="s">
        <v>325</v>
      </c>
      <c r="D290" t="s">
        <v>353</v>
      </c>
      <c r="E290">
        <v>6</v>
      </c>
      <c r="F290" t="s">
        <v>32</v>
      </c>
      <c r="G290" s="1">
        <v>1</v>
      </c>
      <c r="H290" s="1">
        <v>1</v>
      </c>
      <c r="I290" s="1">
        <v>1</v>
      </c>
      <c r="J290" t="s">
        <v>44</v>
      </c>
      <c r="K290" s="1">
        <v>1</v>
      </c>
      <c r="L290" s="1">
        <v>1</v>
      </c>
      <c r="M290" s="1">
        <v>1</v>
      </c>
    </row>
    <row r="291" spans="1:13" x14ac:dyDescent="0.3">
      <c r="A291" t="s">
        <v>361</v>
      </c>
      <c r="B291" t="s">
        <v>225</v>
      </c>
      <c r="C291" t="s">
        <v>325</v>
      </c>
      <c r="D291" t="s">
        <v>353</v>
      </c>
      <c r="E291">
        <v>6</v>
      </c>
      <c r="F291" t="s">
        <v>34</v>
      </c>
      <c r="G291" s="1">
        <v>1</v>
      </c>
      <c r="H291" s="1">
        <v>1</v>
      </c>
      <c r="I291" s="1">
        <v>1</v>
      </c>
      <c r="J291" t="s">
        <v>44</v>
      </c>
      <c r="K291" s="1">
        <v>1</v>
      </c>
      <c r="L291" s="1">
        <v>1</v>
      </c>
      <c r="M291" s="1">
        <v>1</v>
      </c>
    </row>
    <row r="292" spans="1:13" x14ac:dyDescent="0.3">
      <c r="A292" t="s">
        <v>362</v>
      </c>
      <c r="B292" t="s">
        <v>225</v>
      </c>
      <c r="C292" t="s">
        <v>325</v>
      </c>
      <c r="D292" t="s">
        <v>353</v>
      </c>
      <c r="E292">
        <v>6</v>
      </c>
      <c r="F292" t="s">
        <v>36</v>
      </c>
      <c r="G292" s="1">
        <v>1</v>
      </c>
      <c r="H292" s="1">
        <v>1</v>
      </c>
      <c r="I292" s="1">
        <v>1</v>
      </c>
      <c r="J292" t="s">
        <v>44</v>
      </c>
      <c r="K292" s="1">
        <v>1</v>
      </c>
      <c r="L292" s="1">
        <v>1</v>
      </c>
      <c r="M292" s="1">
        <v>1</v>
      </c>
    </row>
    <row r="293" spans="1:13" x14ac:dyDescent="0.3">
      <c r="A293" t="s">
        <v>363</v>
      </c>
      <c r="B293" t="s">
        <v>225</v>
      </c>
      <c r="C293" t="s">
        <v>325</v>
      </c>
      <c r="D293" t="s">
        <v>353</v>
      </c>
      <c r="E293">
        <v>6</v>
      </c>
      <c r="F293" t="s">
        <v>38</v>
      </c>
      <c r="G293" s="1">
        <v>1</v>
      </c>
      <c r="H293" s="1">
        <v>1</v>
      </c>
      <c r="I293" s="1">
        <v>1</v>
      </c>
      <c r="J293" t="s">
        <v>44</v>
      </c>
      <c r="K293" s="1">
        <v>1</v>
      </c>
      <c r="L293" s="1">
        <v>1</v>
      </c>
      <c r="M293" s="1">
        <v>1</v>
      </c>
    </row>
    <row r="294" spans="1:13" x14ac:dyDescent="0.3">
      <c r="A294" t="s">
        <v>364</v>
      </c>
      <c r="B294" t="s">
        <v>225</v>
      </c>
      <c r="C294" t="s">
        <v>325</v>
      </c>
      <c r="D294" t="s">
        <v>353</v>
      </c>
      <c r="E294">
        <v>6</v>
      </c>
      <c r="F294" t="s">
        <v>40</v>
      </c>
      <c r="G294" s="1">
        <v>1</v>
      </c>
      <c r="H294" s="1">
        <v>1</v>
      </c>
      <c r="I294" s="1">
        <v>1</v>
      </c>
      <c r="J294" t="s">
        <v>44</v>
      </c>
      <c r="K294" s="1">
        <v>1</v>
      </c>
      <c r="L294" s="1">
        <v>1</v>
      </c>
      <c r="M294" s="1">
        <v>1</v>
      </c>
    </row>
    <row r="295" spans="1:13" x14ac:dyDescent="0.3">
      <c r="A295" t="s">
        <v>365</v>
      </c>
      <c r="B295" t="s">
        <v>225</v>
      </c>
      <c r="C295" t="s">
        <v>325</v>
      </c>
      <c r="D295" t="s">
        <v>353</v>
      </c>
      <c r="E295">
        <v>6</v>
      </c>
      <c r="F295" t="s">
        <v>64</v>
      </c>
      <c r="G295" s="1">
        <v>1</v>
      </c>
      <c r="H295" s="1">
        <v>1</v>
      </c>
      <c r="I295" s="1">
        <v>1</v>
      </c>
      <c r="J295" t="s">
        <v>44</v>
      </c>
      <c r="K295" s="1">
        <v>1</v>
      </c>
      <c r="L295" s="1">
        <v>1</v>
      </c>
      <c r="M295" s="1">
        <v>1</v>
      </c>
    </row>
    <row r="296" spans="1:13" x14ac:dyDescent="0.3">
      <c r="A296" t="s">
        <v>366</v>
      </c>
      <c r="B296" t="s">
        <v>225</v>
      </c>
      <c r="C296" t="s">
        <v>325</v>
      </c>
      <c r="D296" t="s">
        <v>353</v>
      </c>
      <c r="E296">
        <v>6</v>
      </c>
      <c r="F296" t="s">
        <v>66</v>
      </c>
      <c r="G296" s="1">
        <v>1</v>
      </c>
      <c r="H296" s="1">
        <v>1</v>
      </c>
      <c r="I296" s="1">
        <v>1</v>
      </c>
      <c r="J296" t="s">
        <v>44</v>
      </c>
      <c r="K296" s="1">
        <v>1</v>
      </c>
      <c r="L296" s="1">
        <v>1</v>
      </c>
      <c r="M296" s="1">
        <v>1</v>
      </c>
    </row>
    <row r="297" spans="1:13" x14ac:dyDescent="0.3">
      <c r="A297" t="s">
        <v>367</v>
      </c>
      <c r="B297" t="s">
        <v>225</v>
      </c>
      <c r="C297" t="s">
        <v>325</v>
      </c>
      <c r="D297" t="s">
        <v>353</v>
      </c>
      <c r="E297">
        <v>6</v>
      </c>
      <c r="F297" t="s">
        <v>68</v>
      </c>
      <c r="G297" s="1">
        <v>1</v>
      </c>
      <c r="H297" s="1">
        <v>1</v>
      </c>
      <c r="I297" s="1">
        <v>1</v>
      </c>
      <c r="J297" t="s">
        <v>44</v>
      </c>
      <c r="K297" s="1">
        <v>1</v>
      </c>
      <c r="L297" s="1">
        <v>1</v>
      </c>
      <c r="M297" s="1">
        <v>1</v>
      </c>
    </row>
    <row r="298" spans="1:13" x14ac:dyDescent="0.3">
      <c r="A298" t="s">
        <v>368</v>
      </c>
      <c r="B298" t="s">
        <v>225</v>
      </c>
      <c r="C298" t="s">
        <v>325</v>
      </c>
      <c r="D298" t="s">
        <v>353</v>
      </c>
      <c r="E298">
        <v>6</v>
      </c>
      <c r="F298" t="s">
        <v>70</v>
      </c>
      <c r="G298" s="1">
        <v>1</v>
      </c>
      <c r="H298" s="1">
        <v>1</v>
      </c>
      <c r="I298" s="1">
        <v>1</v>
      </c>
      <c r="J298" t="s">
        <v>44</v>
      </c>
      <c r="K298" s="1">
        <v>1</v>
      </c>
      <c r="L298" s="1">
        <v>1</v>
      </c>
      <c r="M298" s="1">
        <v>1</v>
      </c>
    </row>
    <row r="299" spans="1:13" x14ac:dyDescent="0.3">
      <c r="A299" t="s">
        <v>369</v>
      </c>
      <c r="B299" t="s">
        <v>225</v>
      </c>
      <c r="C299" t="s">
        <v>325</v>
      </c>
      <c r="D299" t="s">
        <v>353</v>
      </c>
      <c r="E299">
        <v>6</v>
      </c>
      <c r="F299" t="s">
        <v>72</v>
      </c>
      <c r="G299" s="1">
        <v>1</v>
      </c>
      <c r="H299" s="1">
        <v>1</v>
      </c>
      <c r="I299" s="1">
        <v>1</v>
      </c>
      <c r="J299" t="s">
        <v>44</v>
      </c>
      <c r="K299" s="1">
        <v>1</v>
      </c>
      <c r="L299" s="1">
        <v>1</v>
      </c>
      <c r="M299" s="1">
        <v>1</v>
      </c>
    </row>
    <row r="300" spans="1:13" x14ac:dyDescent="0.3">
      <c r="A300" t="s">
        <v>370</v>
      </c>
      <c r="B300" t="s">
        <v>225</v>
      </c>
      <c r="C300" t="s">
        <v>325</v>
      </c>
      <c r="D300" t="s">
        <v>371</v>
      </c>
      <c r="E300">
        <v>6</v>
      </c>
      <c r="F300" t="s">
        <v>17</v>
      </c>
      <c r="G300" s="1">
        <v>1</v>
      </c>
      <c r="H300" s="1">
        <v>1</v>
      </c>
      <c r="I300" s="1">
        <v>1</v>
      </c>
      <c r="J300" t="s">
        <v>44</v>
      </c>
      <c r="K300" s="1">
        <v>1</v>
      </c>
      <c r="L300" s="1">
        <v>1</v>
      </c>
      <c r="M300" s="1">
        <v>1</v>
      </c>
    </row>
    <row r="301" spans="1:13" x14ac:dyDescent="0.3">
      <c r="A301" t="s">
        <v>372</v>
      </c>
      <c r="B301" t="s">
        <v>225</v>
      </c>
      <c r="C301" t="s">
        <v>325</v>
      </c>
      <c r="D301" t="s">
        <v>371</v>
      </c>
      <c r="E301">
        <v>6</v>
      </c>
      <c r="F301" t="s">
        <v>20</v>
      </c>
      <c r="G301" s="1">
        <v>1</v>
      </c>
      <c r="H301" s="1">
        <v>1</v>
      </c>
      <c r="I301" s="1">
        <v>1</v>
      </c>
      <c r="J301" t="s">
        <v>44</v>
      </c>
      <c r="K301" s="1">
        <v>1</v>
      </c>
      <c r="L301" s="1">
        <v>1</v>
      </c>
      <c r="M301" s="1">
        <v>1</v>
      </c>
    </row>
    <row r="302" spans="1:13" x14ac:dyDescent="0.3">
      <c r="A302" t="s">
        <v>373</v>
      </c>
      <c r="B302" t="s">
        <v>225</v>
      </c>
      <c r="C302" t="s">
        <v>325</v>
      </c>
      <c r="D302" t="s">
        <v>371</v>
      </c>
      <c r="E302">
        <v>6</v>
      </c>
      <c r="F302" t="s">
        <v>22</v>
      </c>
      <c r="G302" s="1">
        <v>1</v>
      </c>
      <c r="H302" s="1">
        <v>1</v>
      </c>
      <c r="I302" s="1">
        <v>1</v>
      </c>
      <c r="J302" t="s">
        <v>44</v>
      </c>
      <c r="K302" s="1">
        <v>1</v>
      </c>
      <c r="L302" s="1">
        <v>1</v>
      </c>
      <c r="M302" s="1">
        <v>1</v>
      </c>
    </row>
    <row r="303" spans="1:13" x14ac:dyDescent="0.3">
      <c r="A303" t="s">
        <v>374</v>
      </c>
      <c r="B303" t="s">
        <v>225</v>
      </c>
      <c r="C303" t="s">
        <v>325</v>
      </c>
      <c r="D303" t="s">
        <v>371</v>
      </c>
      <c r="E303">
        <v>6</v>
      </c>
      <c r="F303" t="s">
        <v>24</v>
      </c>
      <c r="G303" s="1">
        <v>1</v>
      </c>
      <c r="H303" s="1">
        <v>1</v>
      </c>
      <c r="I303" s="1">
        <v>1</v>
      </c>
      <c r="J303" t="s">
        <v>44</v>
      </c>
      <c r="K303" s="1">
        <v>1</v>
      </c>
      <c r="L303" s="1">
        <v>1</v>
      </c>
      <c r="M303" s="1">
        <v>1</v>
      </c>
    </row>
    <row r="304" spans="1:13" x14ac:dyDescent="0.3">
      <c r="A304" t="s">
        <v>375</v>
      </c>
      <c r="B304" t="s">
        <v>225</v>
      </c>
      <c r="C304" t="s">
        <v>325</v>
      </c>
      <c r="D304" t="s">
        <v>371</v>
      </c>
      <c r="E304">
        <v>6</v>
      </c>
      <c r="F304" t="s">
        <v>26</v>
      </c>
      <c r="G304" s="1">
        <v>1</v>
      </c>
      <c r="H304" s="1">
        <v>1</v>
      </c>
      <c r="I304" s="1">
        <v>1</v>
      </c>
      <c r="J304" t="s">
        <v>44</v>
      </c>
      <c r="K304" s="1">
        <v>1</v>
      </c>
      <c r="L304" s="1">
        <v>1</v>
      </c>
      <c r="M304" s="1">
        <v>1</v>
      </c>
    </row>
    <row r="305" spans="1:13" x14ac:dyDescent="0.3">
      <c r="A305" t="s">
        <v>376</v>
      </c>
      <c r="B305" t="s">
        <v>225</v>
      </c>
      <c r="C305" t="s">
        <v>325</v>
      </c>
      <c r="D305" t="s">
        <v>371</v>
      </c>
      <c r="E305">
        <v>6</v>
      </c>
      <c r="F305" t="s">
        <v>28</v>
      </c>
      <c r="G305" s="1">
        <v>1</v>
      </c>
      <c r="H305" s="1">
        <v>1</v>
      </c>
      <c r="I305" s="1">
        <v>1</v>
      </c>
      <c r="J305" t="s">
        <v>44</v>
      </c>
      <c r="K305" s="1">
        <v>1</v>
      </c>
      <c r="L305" s="1">
        <v>1</v>
      </c>
      <c r="M305" s="1">
        <v>1</v>
      </c>
    </row>
    <row r="306" spans="1:13" x14ac:dyDescent="0.3">
      <c r="A306" t="s">
        <v>377</v>
      </c>
      <c r="B306" t="s">
        <v>225</v>
      </c>
      <c r="C306" t="s">
        <v>325</v>
      </c>
      <c r="D306" t="s">
        <v>371</v>
      </c>
      <c r="E306">
        <v>6</v>
      </c>
      <c r="F306" t="s">
        <v>30</v>
      </c>
      <c r="G306" s="1">
        <v>1</v>
      </c>
      <c r="H306" s="1">
        <v>1</v>
      </c>
      <c r="I306" s="1">
        <v>1</v>
      </c>
      <c r="J306" t="s">
        <v>44</v>
      </c>
      <c r="K306" s="1">
        <v>1</v>
      </c>
      <c r="L306" s="1">
        <v>1</v>
      </c>
      <c r="M306" s="1">
        <v>1</v>
      </c>
    </row>
    <row r="307" spans="1:13" x14ac:dyDescent="0.3">
      <c r="A307" t="s">
        <v>378</v>
      </c>
      <c r="B307" t="s">
        <v>225</v>
      </c>
      <c r="C307" t="s">
        <v>325</v>
      </c>
      <c r="D307" t="s">
        <v>371</v>
      </c>
      <c r="E307">
        <v>6</v>
      </c>
      <c r="F307" t="s">
        <v>32</v>
      </c>
      <c r="J307" t="s">
        <v>44</v>
      </c>
      <c r="K307" s="1">
        <v>1</v>
      </c>
      <c r="L307" s="1">
        <v>1</v>
      </c>
    </row>
    <row r="308" spans="1:13" x14ac:dyDescent="0.3">
      <c r="A308" t="s">
        <v>379</v>
      </c>
      <c r="B308" t="s">
        <v>225</v>
      </c>
      <c r="C308" t="s">
        <v>325</v>
      </c>
      <c r="D308" t="s">
        <v>371</v>
      </c>
      <c r="E308">
        <v>6</v>
      </c>
      <c r="F308" t="s">
        <v>34</v>
      </c>
      <c r="J308" t="s">
        <v>44</v>
      </c>
      <c r="K308" s="1">
        <v>1</v>
      </c>
      <c r="L308" s="1">
        <v>1</v>
      </c>
    </row>
    <row r="309" spans="1:13" x14ac:dyDescent="0.3">
      <c r="A309" t="s">
        <v>380</v>
      </c>
      <c r="B309" t="s">
        <v>225</v>
      </c>
      <c r="C309" t="s">
        <v>325</v>
      </c>
      <c r="D309" t="s">
        <v>371</v>
      </c>
      <c r="E309">
        <v>6</v>
      </c>
      <c r="F309" t="s">
        <v>36</v>
      </c>
      <c r="J309" t="s">
        <v>44</v>
      </c>
      <c r="K309" s="1">
        <v>1</v>
      </c>
      <c r="L309" s="1">
        <v>1</v>
      </c>
    </row>
    <row r="310" spans="1:13" x14ac:dyDescent="0.3">
      <c r="A310" t="s">
        <v>381</v>
      </c>
      <c r="B310" t="s">
        <v>225</v>
      </c>
      <c r="C310" t="s">
        <v>325</v>
      </c>
      <c r="D310" t="s">
        <v>371</v>
      </c>
      <c r="E310">
        <v>6</v>
      </c>
      <c r="F310" t="s">
        <v>38</v>
      </c>
      <c r="J310" t="s">
        <v>44</v>
      </c>
      <c r="K310" s="1">
        <v>1</v>
      </c>
      <c r="L310" s="1">
        <v>1</v>
      </c>
    </row>
    <row r="311" spans="1:13" x14ac:dyDescent="0.3">
      <c r="A311" t="s">
        <v>382</v>
      </c>
      <c r="B311" t="s">
        <v>225</v>
      </c>
      <c r="C311" t="s">
        <v>325</v>
      </c>
      <c r="D311" t="s">
        <v>371</v>
      </c>
      <c r="E311">
        <v>6</v>
      </c>
      <c r="F311" t="s">
        <v>40</v>
      </c>
      <c r="G311" s="1">
        <v>1</v>
      </c>
      <c r="H311" s="1">
        <v>1</v>
      </c>
      <c r="I311" s="1">
        <v>1</v>
      </c>
      <c r="J311" t="s">
        <v>44</v>
      </c>
      <c r="K311" s="1">
        <v>1</v>
      </c>
      <c r="L311" s="1">
        <v>1</v>
      </c>
      <c r="M311" s="1">
        <v>1</v>
      </c>
    </row>
    <row r="312" spans="1:13" x14ac:dyDescent="0.3">
      <c r="A312" t="s">
        <v>383</v>
      </c>
      <c r="B312" t="s">
        <v>225</v>
      </c>
      <c r="C312" t="s">
        <v>325</v>
      </c>
      <c r="D312" t="s">
        <v>371</v>
      </c>
      <c r="E312">
        <v>6</v>
      </c>
      <c r="F312" t="s">
        <v>64</v>
      </c>
      <c r="G312" s="1">
        <v>1</v>
      </c>
      <c r="H312" s="1">
        <v>1</v>
      </c>
      <c r="I312" s="1">
        <v>1</v>
      </c>
      <c r="J312" t="s">
        <v>44</v>
      </c>
      <c r="K312" s="1">
        <v>1</v>
      </c>
      <c r="L312" s="1">
        <v>1</v>
      </c>
      <c r="M312" s="1">
        <v>1</v>
      </c>
    </row>
    <row r="313" spans="1:13" x14ac:dyDescent="0.3">
      <c r="A313" t="s">
        <v>384</v>
      </c>
      <c r="B313" t="s">
        <v>225</v>
      </c>
      <c r="C313" t="s">
        <v>325</v>
      </c>
      <c r="D313" t="s">
        <v>371</v>
      </c>
      <c r="E313">
        <v>6</v>
      </c>
      <c r="F313" t="s">
        <v>66</v>
      </c>
      <c r="G313" s="1">
        <v>1</v>
      </c>
      <c r="H313" s="1">
        <v>1</v>
      </c>
      <c r="I313" s="1">
        <v>1</v>
      </c>
      <c r="J313" t="s">
        <v>44</v>
      </c>
      <c r="K313" s="1">
        <v>1</v>
      </c>
      <c r="L313" s="1">
        <v>1</v>
      </c>
      <c r="M313" s="1">
        <v>1</v>
      </c>
    </row>
    <row r="314" spans="1:13" x14ac:dyDescent="0.3">
      <c r="A314" t="s">
        <v>385</v>
      </c>
      <c r="B314" t="s">
        <v>225</v>
      </c>
      <c r="C314" t="s">
        <v>325</v>
      </c>
      <c r="D314" t="s">
        <v>371</v>
      </c>
      <c r="E314">
        <v>6</v>
      </c>
      <c r="F314" t="s">
        <v>68</v>
      </c>
      <c r="G314" s="1">
        <v>1</v>
      </c>
      <c r="H314" s="1">
        <v>1</v>
      </c>
      <c r="I314" s="1">
        <v>1</v>
      </c>
      <c r="J314" t="s">
        <v>44</v>
      </c>
      <c r="K314" s="1">
        <v>1</v>
      </c>
      <c r="L314" s="1">
        <v>1</v>
      </c>
      <c r="M314" s="1">
        <v>1</v>
      </c>
    </row>
    <row r="315" spans="1:13" x14ac:dyDescent="0.3">
      <c r="A315" t="s">
        <v>386</v>
      </c>
      <c r="B315" t="s">
        <v>225</v>
      </c>
      <c r="C315" t="s">
        <v>325</v>
      </c>
      <c r="D315" t="s">
        <v>371</v>
      </c>
      <c r="E315">
        <v>6</v>
      </c>
      <c r="F315" t="s">
        <v>70</v>
      </c>
      <c r="G315" s="1">
        <v>1</v>
      </c>
      <c r="H315" s="1">
        <v>1</v>
      </c>
      <c r="I315" s="1">
        <v>1</v>
      </c>
      <c r="J315" t="s">
        <v>44</v>
      </c>
      <c r="K315" s="1">
        <v>1</v>
      </c>
      <c r="L315" s="1">
        <v>1</v>
      </c>
      <c r="M315" s="1">
        <v>1</v>
      </c>
    </row>
    <row r="316" spans="1:13" x14ac:dyDescent="0.3">
      <c r="A316" t="s">
        <v>387</v>
      </c>
      <c r="B316" t="s">
        <v>225</v>
      </c>
      <c r="C316" t="s">
        <v>325</v>
      </c>
      <c r="D316" t="s">
        <v>371</v>
      </c>
      <c r="E316">
        <v>6</v>
      </c>
      <c r="F316" t="s">
        <v>72</v>
      </c>
      <c r="G316" s="1">
        <v>1</v>
      </c>
      <c r="H316" s="1">
        <v>1</v>
      </c>
      <c r="I316" s="1">
        <v>1</v>
      </c>
      <c r="J316" t="s">
        <v>44</v>
      </c>
      <c r="K316" s="1">
        <v>1</v>
      </c>
      <c r="L316" s="1">
        <v>1</v>
      </c>
      <c r="M316" s="1">
        <v>1</v>
      </c>
    </row>
    <row r="317" spans="1:13" x14ac:dyDescent="0.3">
      <c r="A317" t="s">
        <v>388</v>
      </c>
      <c r="B317" t="s">
        <v>225</v>
      </c>
      <c r="C317" t="s">
        <v>325</v>
      </c>
      <c r="D317" t="s">
        <v>371</v>
      </c>
      <c r="E317">
        <v>6</v>
      </c>
      <c r="F317" t="s">
        <v>74</v>
      </c>
      <c r="G317" s="1">
        <v>1</v>
      </c>
      <c r="H317" s="1">
        <v>1</v>
      </c>
      <c r="I317" s="1">
        <v>1</v>
      </c>
      <c r="J317" t="s">
        <v>44</v>
      </c>
      <c r="K317" s="1">
        <v>1</v>
      </c>
      <c r="L317" s="1">
        <v>1</v>
      </c>
      <c r="M317" s="1">
        <v>1</v>
      </c>
    </row>
    <row r="318" spans="1:13" x14ac:dyDescent="0.3">
      <c r="A318" t="s">
        <v>389</v>
      </c>
      <c r="B318" t="s">
        <v>225</v>
      </c>
      <c r="C318" t="s">
        <v>325</v>
      </c>
      <c r="D318" t="s">
        <v>371</v>
      </c>
      <c r="E318">
        <v>6</v>
      </c>
      <c r="F318" t="s">
        <v>76</v>
      </c>
      <c r="G318" s="1">
        <v>1</v>
      </c>
      <c r="H318" s="1">
        <v>1</v>
      </c>
      <c r="I318" s="1">
        <v>1</v>
      </c>
      <c r="J318" t="s">
        <v>44</v>
      </c>
      <c r="K318" s="1">
        <v>1</v>
      </c>
      <c r="L318" s="1">
        <v>1</v>
      </c>
      <c r="M318" s="1">
        <v>1</v>
      </c>
    </row>
    <row r="319" spans="1:13" x14ac:dyDescent="0.3">
      <c r="A319" t="s">
        <v>390</v>
      </c>
      <c r="B319" t="s">
        <v>225</v>
      </c>
      <c r="C319" t="s">
        <v>325</v>
      </c>
      <c r="D319" t="s">
        <v>371</v>
      </c>
      <c r="E319">
        <v>6</v>
      </c>
      <c r="F319" t="s">
        <v>78</v>
      </c>
      <c r="G319" s="1">
        <v>1</v>
      </c>
      <c r="H319" s="1">
        <v>1</v>
      </c>
      <c r="I319" s="1">
        <v>1</v>
      </c>
      <c r="J319" t="s">
        <v>44</v>
      </c>
      <c r="K319" s="1">
        <v>1</v>
      </c>
      <c r="L319" s="1">
        <v>1</v>
      </c>
      <c r="M319" s="1">
        <v>1</v>
      </c>
    </row>
    <row r="320" spans="1:13" x14ac:dyDescent="0.3">
      <c r="A320" t="s">
        <v>391</v>
      </c>
      <c r="B320" t="s">
        <v>225</v>
      </c>
      <c r="C320" t="s">
        <v>325</v>
      </c>
      <c r="D320" t="s">
        <v>371</v>
      </c>
      <c r="E320">
        <v>6</v>
      </c>
      <c r="F320" t="s">
        <v>80</v>
      </c>
      <c r="G320" s="1">
        <v>1</v>
      </c>
      <c r="H320" s="1">
        <v>1</v>
      </c>
      <c r="I320" s="1">
        <v>1</v>
      </c>
      <c r="J320" t="s">
        <v>44</v>
      </c>
      <c r="K320" s="1">
        <v>1</v>
      </c>
      <c r="L320" s="1">
        <v>1</v>
      </c>
      <c r="M320" s="1">
        <v>1</v>
      </c>
    </row>
    <row r="321" spans="1:10" x14ac:dyDescent="0.3">
      <c r="A321" t="s">
        <v>392</v>
      </c>
      <c r="B321" t="s">
        <v>225</v>
      </c>
      <c r="C321" t="s">
        <v>325</v>
      </c>
      <c r="D321" t="s">
        <v>393</v>
      </c>
      <c r="E321">
        <v>6</v>
      </c>
      <c r="F321" t="s">
        <v>17</v>
      </c>
      <c r="J321" t="s">
        <v>44</v>
      </c>
    </row>
    <row r="322" spans="1:10" x14ac:dyDescent="0.3">
      <c r="A322" t="s">
        <v>394</v>
      </c>
      <c r="B322" t="s">
        <v>225</v>
      </c>
      <c r="C322" t="s">
        <v>325</v>
      </c>
      <c r="D322" t="s">
        <v>393</v>
      </c>
      <c r="E322">
        <v>6</v>
      </c>
      <c r="F322" t="s">
        <v>20</v>
      </c>
      <c r="J322" t="s">
        <v>44</v>
      </c>
    </row>
    <row r="323" spans="1:10" x14ac:dyDescent="0.3">
      <c r="A323" t="s">
        <v>395</v>
      </c>
      <c r="B323" t="s">
        <v>225</v>
      </c>
      <c r="C323" t="s">
        <v>325</v>
      </c>
      <c r="D323" t="s">
        <v>393</v>
      </c>
      <c r="E323">
        <v>6</v>
      </c>
      <c r="F323" t="s">
        <v>22</v>
      </c>
      <c r="J323" t="s">
        <v>44</v>
      </c>
    </row>
    <row r="324" spans="1:10" x14ac:dyDescent="0.3">
      <c r="A324" t="s">
        <v>396</v>
      </c>
      <c r="B324" t="s">
        <v>225</v>
      </c>
      <c r="C324" t="s">
        <v>325</v>
      </c>
      <c r="D324" t="s">
        <v>393</v>
      </c>
      <c r="E324">
        <v>6</v>
      </c>
      <c r="F324" t="s">
        <v>24</v>
      </c>
      <c r="J324" t="s">
        <v>44</v>
      </c>
    </row>
    <row r="325" spans="1:10" x14ac:dyDescent="0.3">
      <c r="A325" t="s">
        <v>397</v>
      </c>
      <c r="B325" t="s">
        <v>225</v>
      </c>
      <c r="C325" t="s">
        <v>325</v>
      </c>
      <c r="D325" t="s">
        <v>393</v>
      </c>
      <c r="E325">
        <v>6</v>
      </c>
      <c r="F325" t="s">
        <v>26</v>
      </c>
      <c r="J325" t="s">
        <v>44</v>
      </c>
    </row>
    <row r="326" spans="1:10" x14ac:dyDescent="0.3">
      <c r="A326" t="s">
        <v>398</v>
      </c>
      <c r="B326" t="s">
        <v>225</v>
      </c>
      <c r="C326" t="s">
        <v>325</v>
      </c>
      <c r="D326" t="s">
        <v>393</v>
      </c>
      <c r="E326">
        <v>6</v>
      </c>
      <c r="F326" t="s">
        <v>28</v>
      </c>
      <c r="J326" t="s">
        <v>44</v>
      </c>
    </row>
    <row r="327" spans="1:10" x14ac:dyDescent="0.3">
      <c r="A327" t="s">
        <v>399</v>
      </c>
      <c r="B327" t="s">
        <v>225</v>
      </c>
      <c r="C327" t="s">
        <v>325</v>
      </c>
      <c r="D327" t="s">
        <v>393</v>
      </c>
      <c r="E327">
        <v>6</v>
      </c>
      <c r="F327" t="s">
        <v>30</v>
      </c>
      <c r="J327" t="s">
        <v>44</v>
      </c>
    </row>
    <row r="328" spans="1:10" x14ac:dyDescent="0.3">
      <c r="A328" t="s">
        <v>400</v>
      </c>
      <c r="B328" t="s">
        <v>225</v>
      </c>
      <c r="C328" t="s">
        <v>325</v>
      </c>
      <c r="D328" t="s">
        <v>393</v>
      </c>
      <c r="E328">
        <v>6</v>
      </c>
      <c r="F328" t="s">
        <v>32</v>
      </c>
      <c r="J328" t="s">
        <v>44</v>
      </c>
    </row>
    <row r="329" spans="1:10" x14ac:dyDescent="0.3">
      <c r="A329" t="s">
        <v>401</v>
      </c>
      <c r="B329" t="s">
        <v>225</v>
      </c>
      <c r="C329" t="s">
        <v>325</v>
      </c>
      <c r="D329" t="s">
        <v>393</v>
      </c>
      <c r="E329">
        <v>6</v>
      </c>
      <c r="F329" t="s">
        <v>34</v>
      </c>
      <c r="J329" t="s">
        <v>44</v>
      </c>
    </row>
    <row r="330" spans="1:10" x14ac:dyDescent="0.3">
      <c r="A330" t="s">
        <v>402</v>
      </c>
      <c r="B330" t="s">
        <v>225</v>
      </c>
      <c r="C330" t="s">
        <v>325</v>
      </c>
      <c r="D330" t="s">
        <v>393</v>
      </c>
      <c r="E330">
        <v>6</v>
      </c>
      <c r="F330" t="s">
        <v>36</v>
      </c>
      <c r="J330" t="s">
        <v>44</v>
      </c>
    </row>
    <row r="331" spans="1:10" x14ac:dyDescent="0.3">
      <c r="A331" t="s">
        <v>403</v>
      </c>
      <c r="B331" t="s">
        <v>225</v>
      </c>
      <c r="C331" t="s">
        <v>325</v>
      </c>
      <c r="D331" t="s">
        <v>393</v>
      </c>
      <c r="E331">
        <v>6</v>
      </c>
      <c r="F331" t="s">
        <v>38</v>
      </c>
      <c r="J331" t="s">
        <v>44</v>
      </c>
    </row>
    <row r="332" spans="1:10" x14ac:dyDescent="0.3">
      <c r="A332" t="s">
        <v>404</v>
      </c>
      <c r="B332" t="s">
        <v>225</v>
      </c>
      <c r="C332" t="s">
        <v>325</v>
      </c>
      <c r="D332" t="s">
        <v>393</v>
      </c>
      <c r="E332">
        <v>6</v>
      </c>
      <c r="F332" t="s">
        <v>40</v>
      </c>
      <c r="J332" t="s">
        <v>44</v>
      </c>
    </row>
    <row r="333" spans="1:10" x14ac:dyDescent="0.3">
      <c r="A333" t="s">
        <v>405</v>
      </c>
      <c r="B333" t="s">
        <v>225</v>
      </c>
      <c r="C333" t="s">
        <v>325</v>
      </c>
      <c r="D333" t="s">
        <v>393</v>
      </c>
      <c r="E333">
        <v>6</v>
      </c>
      <c r="F333" t="s">
        <v>64</v>
      </c>
      <c r="J333" t="s">
        <v>44</v>
      </c>
    </row>
    <row r="334" spans="1:10" x14ac:dyDescent="0.3">
      <c r="A334" t="s">
        <v>406</v>
      </c>
      <c r="B334" t="s">
        <v>225</v>
      </c>
      <c r="C334" t="s">
        <v>325</v>
      </c>
      <c r="D334" t="s">
        <v>393</v>
      </c>
      <c r="E334">
        <v>6</v>
      </c>
      <c r="F334" t="s">
        <v>66</v>
      </c>
      <c r="J334" t="s">
        <v>44</v>
      </c>
    </row>
    <row r="335" spans="1:10" x14ac:dyDescent="0.3">
      <c r="A335" t="s">
        <v>407</v>
      </c>
      <c r="B335" t="s">
        <v>225</v>
      </c>
      <c r="C335" t="s">
        <v>325</v>
      </c>
      <c r="D335" t="s">
        <v>393</v>
      </c>
      <c r="E335">
        <v>6</v>
      </c>
      <c r="F335" t="s">
        <v>68</v>
      </c>
      <c r="J335" t="s">
        <v>44</v>
      </c>
    </row>
    <row r="336" spans="1:10" x14ac:dyDescent="0.3">
      <c r="A336" t="s">
        <v>408</v>
      </c>
      <c r="B336" t="s">
        <v>225</v>
      </c>
      <c r="C336" t="s">
        <v>325</v>
      </c>
      <c r="D336" t="s">
        <v>393</v>
      </c>
      <c r="E336">
        <v>6</v>
      </c>
      <c r="F336" t="s">
        <v>70</v>
      </c>
      <c r="J336" t="s">
        <v>44</v>
      </c>
    </row>
    <row r="337" spans="1:10" x14ac:dyDescent="0.3">
      <c r="A337" t="s">
        <v>409</v>
      </c>
      <c r="B337" t="s">
        <v>225</v>
      </c>
      <c r="C337" t="s">
        <v>325</v>
      </c>
      <c r="D337" t="s">
        <v>393</v>
      </c>
      <c r="E337">
        <v>6</v>
      </c>
      <c r="F337" t="s">
        <v>72</v>
      </c>
      <c r="J337" t="s">
        <v>44</v>
      </c>
    </row>
    <row r="338" spans="1:10" x14ac:dyDescent="0.3">
      <c r="A338" t="s">
        <v>410</v>
      </c>
      <c r="B338" t="s">
        <v>225</v>
      </c>
      <c r="C338" t="s">
        <v>325</v>
      </c>
      <c r="D338" t="s">
        <v>393</v>
      </c>
      <c r="E338">
        <v>6</v>
      </c>
      <c r="F338" t="s">
        <v>74</v>
      </c>
      <c r="J338" t="s">
        <v>44</v>
      </c>
    </row>
    <row r="339" spans="1:10" x14ac:dyDescent="0.3">
      <c r="A339" t="s">
        <v>411</v>
      </c>
      <c r="B339" t="s">
        <v>225</v>
      </c>
      <c r="C339" t="s">
        <v>325</v>
      </c>
      <c r="D339" t="s">
        <v>393</v>
      </c>
      <c r="E339">
        <v>6</v>
      </c>
      <c r="F339" t="s">
        <v>76</v>
      </c>
      <c r="J339" t="s">
        <v>44</v>
      </c>
    </row>
    <row r="340" spans="1:10" x14ac:dyDescent="0.3">
      <c r="A340" t="s">
        <v>412</v>
      </c>
      <c r="B340" t="s">
        <v>225</v>
      </c>
      <c r="C340" t="s">
        <v>325</v>
      </c>
      <c r="D340" t="s">
        <v>413</v>
      </c>
      <c r="E340">
        <v>6</v>
      </c>
      <c r="F340" t="s">
        <v>17</v>
      </c>
      <c r="J340" t="s">
        <v>44</v>
      </c>
    </row>
    <row r="341" spans="1:10" x14ac:dyDescent="0.3">
      <c r="A341" t="s">
        <v>414</v>
      </c>
      <c r="B341" t="s">
        <v>225</v>
      </c>
      <c r="C341" t="s">
        <v>325</v>
      </c>
      <c r="D341" t="s">
        <v>413</v>
      </c>
      <c r="E341">
        <v>6</v>
      </c>
      <c r="F341" t="s">
        <v>20</v>
      </c>
      <c r="J341" t="s">
        <v>44</v>
      </c>
    </row>
    <row r="342" spans="1:10" x14ac:dyDescent="0.3">
      <c r="A342" t="s">
        <v>415</v>
      </c>
      <c r="B342" t="s">
        <v>225</v>
      </c>
      <c r="C342" t="s">
        <v>325</v>
      </c>
      <c r="D342" t="s">
        <v>413</v>
      </c>
      <c r="E342">
        <v>6</v>
      </c>
      <c r="F342" t="s">
        <v>22</v>
      </c>
      <c r="J342" t="s">
        <v>44</v>
      </c>
    </row>
    <row r="343" spans="1:10" x14ac:dyDescent="0.3">
      <c r="A343" t="s">
        <v>416</v>
      </c>
      <c r="B343" t="s">
        <v>225</v>
      </c>
      <c r="C343" t="s">
        <v>325</v>
      </c>
      <c r="D343" t="s">
        <v>413</v>
      </c>
      <c r="E343">
        <v>6</v>
      </c>
      <c r="F343" t="s">
        <v>24</v>
      </c>
      <c r="J343" t="s">
        <v>44</v>
      </c>
    </row>
    <row r="344" spans="1:10" x14ac:dyDescent="0.3">
      <c r="A344" t="s">
        <v>417</v>
      </c>
      <c r="B344" t="s">
        <v>225</v>
      </c>
      <c r="C344" t="s">
        <v>325</v>
      </c>
      <c r="D344" t="s">
        <v>413</v>
      </c>
      <c r="E344">
        <v>6</v>
      </c>
      <c r="F344" t="s">
        <v>26</v>
      </c>
      <c r="J344" t="s">
        <v>44</v>
      </c>
    </row>
    <row r="345" spans="1:10" x14ac:dyDescent="0.3">
      <c r="A345" t="s">
        <v>418</v>
      </c>
      <c r="B345" t="s">
        <v>225</v>
      </c>
      <c r="C345" t="s">
        <v>325</v>
      </c>
      <c r="D345" t="s">
        <v>413</v>
      </c>
      <c r="E345">
        <v>6</v>
      </c>
      <c r="F345" t="s">
        <v>28</v>
      </c>
      <c r="J345" t="s">
        <v>44</v>
      </c>
    </row>
    <row r="346" spans="1:10" x14ac:dyDescent="0.3">
      <c r="A346" t="s">
        <v>419</v>
      </c>
      <c r="B346" t="s">
        <v>225</v>
      </c>
      <c r="C346" t="s">
        <v>325</v>
      </c>
      <c r="D346" t="s">
        <v>413</v>
      </c>
      <c r="E346">
        <v>6</v>
      </c>
      <c r="F346" t="s">
        <v>30</v>
      </c>
      <c r="J346" t="s">
        <v>44</v>
      </c>
    </row>
    <row r="347" spans="1:10" x14ac:dyDescent="0.3">
      <c r="A347" t="s">
        <v>420</v>
      </c>
      <c r="B347" t="s">
        <v>225</v>
      </c>
      <c r="C347" t="s">
        <v>325</v>
      </c>
      <c r="D347" t="s">
        <v>413</v>
      </c>
      <c r="E347">
        <v>6</v>
      </c>
      <c r="F347" t="s">
        <v>32</v>
      </c>
      <c r="J347" t="s">
        <v>44</v>
      </c>
    </row>
    <row r="348" spans="1:10" x14ac:dyDescent="0.3">
      <c r="A348" t="s">
        <v>421</v>
      </c>
      <c r="B348" t="s">
        <v>225</v>
      </c>
      <c r="C348" t="s">
        <v>325</v>
      </c>
      <c r="D348" t="s">
        <v>413</v>
      </c>
      <c r="E348">
        <v>6</v>
      </c>
      <c r="F348" t="s">
        <v>34</v>
      </c>
      <c r="J348" t="s">
        <v>44</v>
      </c>
    </row>
    <row r="349" spans="1:10" x14ac:dyDescent="0.3">
      <c r="A349" t="s">
        <v>422</v>
      </c>
      <c r="B349" t="s">
        <v>225</v>
      </c>
      <c r="C349" t="s">
        <v>325</v>
      </c>
      <c r="D349" t="s">
        <v>413</v>
      </c>
      <c r="E349">
        <v>6</v>
      </c>
      <c r="F349" t="s">
        <v>36</v>
      </c>
      <c r="J349" t="s">
        <v>44</v>
      </c>
    </row>
    <row r="350" spans="1:10" x14ac:dyDescent="0.3">
      <c r="A350" t="s">
        <v>423</v>
      </c>
      <c r="B350" t="s">
        <v>225</v>
      </c>
      <c r="C350" t="s">
        <v>325</v>
      </c>
      <c r="D350" t="s">
        <v>413</v>
      </c>
      <c r="E350">
        <v>6</v>
      </c>
      <c r="F350" t="s">
        <v>38</v>
      </c>
      <c r="J350" t="s">
        <v>44</v>
      </c>
    </row>
    <row r="351" spans="1:10" x14ac:dyDescent="0.3">
      <c r="A351" t="s">
        <v>424</v>
      </c>
      <c r="B351" t="s">
        <v>225</v>
      </c>
      <c r="C351" t="s">
        <v>325</v>
      </c>
      <c r="D351" t="s">
        <v>413</v>
      </c>
      <c r="E351">
        <v>6</v>
      </c>
      <c r="F351" t="s">
        <v>40</v>
      </c>
      <c r="J351" t="s">
        <v>44</v>
      </c>
    </row>
    <row r="352" spans="1:10" x14ac:dyDescent="0.3">
      <c r="A352" t="s">
        <v>425</v>
      </c>
      <c r="B352" t="s">
        <v>225</v>
      </c>
      <c r="C352" t="s">
        <v>325</v>
      </c>
      <c r="D352" t="s">
        <v>413</v>
      </c>
      <c r="E352">
        <v>6</v>
      </c>
      <c r="F352" t="s">
        <v>64</v>
      </c>
      <c r="J352" t="s">
        <v>44</v>
      </c>
    </row>
    <row r="353" spans="1:13" x14ac:dyDescent="0.3">
      <c r="A353" t="s">
        <v>426</v>
      </c>
      <c r="B353" t="s">
        <v>225</v>
      </c>
      <c r="C353" t="s">
        <v>325</v>
      </c>
      <c r="D353" t="s">
        <v>413</v>
      </c>
      <c r="E353">
        <v>6</v>
      </c>
      <c r="F353" t="s">
        <v>66</v>
      </c>
      <c r="J353" t="s">
        <v>44</v>
      </c>
    </row>
    <row r="354" spans="1:13" x14ac:dyDescent="0.3">
      <c r="A354" t="s">
        <v>427</v>
      </c>
      <c r="B354" t="s">
        <v>225</v>
      </c>
      <c r="C354" t="s">
        <v>325</v>
      </c>
      <c r="D354" t="s">
        <v>413</v>
      </c>
      <c r="E354">
        <v>6</v>
      </c>
      <c r="F354" t="s">
        <v>68</v>
      </c>
      <c r="J354" t="s">
        <v>44</v>
      </c>
    </row>
    <row r="355" spans="1:13" x14ac:dyDescent="0.3">
      <c r="A355" t="s">
        <v>428</v>
      </c>
      <c r="B355" t="s">
        <v>225</v>
      </c>
      <c r="C355" t="s">
        <v>325</v>
      </c>
      <c r="D355" t="s">
        <v>413</v>
      </c>
      <c r="E355">
        <v>6</v>
      </c>
      <c r="F355" t="s">
        <v>70</v>
      </c>
      <c r="J355" t="s">
        <v>44</v>
      </c>
    </row>
    <row r="356" spans="1:13" x14ac:dyDescent="0.3">
      <c r="A356" t="s">
        <v>429</v>
      </c>
      <c r="B356" t="s">
        <v>225</v>
      </c>
      <c r="C356" t="s">
        <v>325</v>
      </c>
      <c r="D356" t="s">
        <v>413</v>
      </c>
      <c r="E356">
        <v>6</v>
      </c>
      <c r="F356" t="s">
        <v>72</v>
      </c>
      <c r="J356" t="s">
        <v>44</v>
      </c>
    </row>
    <row r="357" spans="1:13" x14ac:dyDescent="0.3">
      <c r="A357" t="s">
        <v>430</v>
      </c>
      <c r="B357" t="s">
        <v>225</v>
      </c>
      <c r="C357" t="s">
        <v>325</v>
      </c>
      <c r="D357" t="s">
        <v>413</v>
      </c>
      <c r="E357">
        <v>6</v>
      </c>
      <c r="F357" t="s">
        <v>74</v>
      </c>
      <c r="J357" t="s">
        <v>44</v>
      </c>
    </row>
    <row r="358" spans="1:13" x14ac:dyDescent="0.3">
      <c r="A358" t="s">
        <v>431</v>
      </c>
      <c r="B358" t="s">
        <v>225</v>
      </c>
      <c r="C358" t="s">
        <v>325</v>
      </c>
      <c r="D358" t="s">
        <v>413</v>
      </c>
      <c r="E358">
        <v>6</v>
      </c>
      <c r="F358" t="s">
        <v>76</v>
      </c>
      <c r="J358" t="s">
        <v>44</v>
      </c>
    </row>
    <row r="359" spans="1:13" x14ac:dyDescent="0.3">
      <c r="A359" t="s">
        <v>432</v>
      </c>
      <c r="B359" t="s">
        <v>225</v>
      </c>
      <c r="C359" t="s">
        <v>325</v>
      </c>
      <c r="D359" t="s">
        <v>413</v>
      </c>
      <c r="E359">
        <v>6</v>
      </c>
      <c r="F359" t="s">
        <v>78</v>
      </c>
      <c r="J359" t="s">
        <v>44</v>
      </c>
    </row>
    <row r="360" spans="1:13" x14ac:dyDescent="0.3">
      <c r="A360" t="s">
        <v>433</v>
      </c>
      <c r="B360" t="s">
        <v>225</v>
      </c>
      <c r="C360" t="s">
        <v>325</v>
      </c>
      <c r="D360" t="s">
        <v>413</v>
      </c>
      <c r="E360">
        <v>6</v>
      </c>
      <c r="F360" t="s">
        <v>80</v>
      </c>
      <c r="J360" t="s">
        <v>44</v>
      </c>
    </row>
    <row r="361" spans="1:13" x14ac:dyDescent="0.3">
      <c r="A361" t="s">
        <v>434</v>
      </c>
      <c r="B361" t="s">
        <v>225</v>
      </c>
      <c r="C361" t="s">
        <v>325</v>
      </c>
      <c r="D361" t="s">
        <v>413</v>
      </c>
      <c r="E361">
        <v>6</v>
      </c>
      <c r="F361" t="s">
        <v>82</v>
      </c>
      <c r="J361" t="s">
        <v>44</v>
      </c>
    </row>
    <row r="362" spans="1:13" x14ac:dyDescent="0.3">
      <c r="A362" t="s">
        <v>435</v>
      </c>
      <c r="B362" t="s">
        <v>225</v>
      </c>
      <c r="C362" t="s">
        <v>325</v>
      </c>
      <c r="D362" t="s">
        <v>413</v>
      </c>
      <c r="E362">
        <v>6</v>
      </c>
      <c r="F362" t="s">
        <v>84</v>
      </c>
      <c r="J362" t="s">
        <v>44</v>
      </c>
    </row>
    <row r="363" spans="1:13" x14ac:dyDescent="0.3">
      <c r="A363" t="s">
        <v>436</v>
      </c>
      <c r="B363" t="s">
        <v>225</v>
      </c>
      <c r="C363" t="s">
        <v>325</v>
      </c>
      <c r="D363" t="s">
        <v>413</v>
      </c>
      <c r="E363">
        <v>6</v>
      </c>
      <c r="F363" t="s">
        <v>181</v>
      </c>
      <c r="J363" t="s">
        <v>44</v>
      </c>
    </row>
    <row r="364" spans="1:13" x14ac:dyDescent="0.3">
      <c r="A364" t="s">
        <v>437</v>
      </c>
      <c r="B364" t="s">
        <v>225</v>
      </c>
      <c r="C364" t="s">
        <v>325</v>
      </c>
      <c r="D364" t="s">
        <v>413</v>
      </c>
      <c r="E364">
        <v>6</v>
      </c>
      <c r="F364" t="s">
        <v>183</v>
      </c>
      <c r="J364" t="s">
        <v>44</v>
      </c>
    </row>
    <row r="365" spans="1:13" x14ac:dyDescent="0.3">
      <c r="A365" t="s">
        <v>438</v>
      </c>
      <c r="B365" t="s">
        <v>225</v>
      </c>
      <c r="C365" t="s">
        <v>325</v>
      </c>
      <c r="D365" t="s">
        <v>439</v>
      </c>
      <c r="E365">
        <v>6</v>
      </c>
      <c r="F365" t="s">
        <v>17</v>
      </c>
      <c r="G365" s="1">
        <v>1</v>
      </c>
      <c r="H365" s="1">
        <v>1</v>
      </c>
      <c r="I365" s="1">
        <v>1</v>
      </c>
      <c r="J365" t="s">
        <v>44</v>
      </c>
      <c r="K365" s="1">
        <v>1</v>
      </c>
      <c r="L365" s="1">
        <v>1</v>
      </c>
      <c r="M365" s="1">
        <v>1</v>
      </c>
    </row>
    <row r="366" spans="1:13" x14ac:dyDescent="0.3">
      <c r="A366" t="s">
        <v>440</v>
      </c>
      <c r="B366" t="s">
        <v>225</v>
      </c>
      <c r="C366" t="s">
        <v>325</v>
      </c>
      <c r="D366" t="s">
        <v>439</v>
      </c>
      <c r="E366">
        <v>6</v>
      </c>
      <c r="F366" t="s">
        <v>20</v>
      </c>
      <c r="G366" s="1">
        <v>1</v>
      </c>
      <c r="H366" s="1">
        <v>1</v>
      </c>
      <c r="I366" s="1">
        <v>1</v>
      </c>
      <c r="J366" t="s">
        <v>44</v>
      </c>
      <c r="K366" s="1">
        <v>1</v>
      </c>
      <c r="L366" s="1">
        <v>1</v>
      </c>
      <c r="M366" s="1">
        <v>1</v>
      </c>
    </row>
    <row r="367" spans="1:13" x14ac:dyDescent="0.3">
      <c r="A367" t="s">
        <v>441</v>
      </c>
      <c r="B367" t="s">
        <v>225</v>
      </c>
      <c r="C367" t="s">
        <v>325</v>
      </c>
      <c r="D367" t="s">
        <v>439</v>
      </c>
      <c r="E367">
        <v>6</v>
      </c>
      <c r="F367" t="s">
        <v>22</v>
      </c>
      <c r="G367" s="1">
        <v>1</v>
      </c>
      <c r="H367" s="1">
        <v>1</v>
      </c>
      <c r="I367" s="1">
        <v>1</v>
      </c>
      <c r="J367" t="s">
        <v>44</v>
      </c>
      <c r="K367" s="1">
        <v>1</v>
      </c>
      <c r="L367" s="1">
        <v>1</v>
      </c>
      <c r="M367" s="1">
        <v>1</v>
      </c>
    </row>
    <row r="368" spans="1:13" x14ac:dyDescent="0.3">
      <c r="A368" t="s">
        <v>442</v>
      </c>
      <c r="B368" t="s">
        <v>225</v>
      </c>
      <c r="C368" t="s">
        <v>325</v>
      </c>
      <c r="D368" t="s">
        <v>439</v>
      </c>
      <c r="E368">
        <v>6</v>
      </c>
      <c r="F368" t="s">
        <v>24</v>
      </c>
      <c r="J368" t="s">
        <v>44</v>
      </c>
    </row>
    <row r="369" spans="1:13" x14ac:dyDescent="0.3">
      <c r="A369" t="s">
        <v>443</v>
      </c>
      <c r="B369" t="s">
        <v>225</v>
      </c>
      <c r="C369" t="s">
        <v>325</v>
      </c>
      <c r="D369" t="s">
        <v>439</v>
      </c>
      <c r="E369">
        <v>6</v>
      </c>
      <c r="F369" t="s">
        <v>26</v>
      </c>
      <c r="J369" t="s">
        <v>44</v>
      </c>
    </row>
    <row r="370" spans="1:13" x14ac:dyDescent="0.3">
      <c r="A370" t="s">
        <v>444</v>
      </c>
      <c r="B370" t="s">
        <v>225</v>
      </c>
      <c r="C370" t="s">
        <v>42</v>
      </c>
      <c r="D370" t="s">
        <v>445</v>
      </c>
      <c r="E370">
        <v>6</v>
      </c>
      <c r="F370" t="s">
        <v>17</v>
      </c>
      <c r="G370" s="1">
        <v>1</v>
      </c>
      <c r="H370" s="1">
        <v>1</v>
      </c>
      <c r="I370" s="1">
        <v>1</v>
      </c>
      <c r="J370" t="s">
        <v>18</v>
      </c>
      <c r="K370" s="1">
        <v>1</v>
      </c>
      <c r="L370" s="1">
        <v>1</v>
      </c>
      <c r="M370" s="1">
        <v>1</v>
      </c>
    </row>
    <row r="371" spans="1:13" x14ac:dyDescent="0.3">
      <c r="A371" t="s">
        <v>446</v>
      </c>
      <c r="B371" t="s">
        <v>225</v>
      </c>
      <c r="C371" t="s">
        <v>42</v>
      </c>
      <c r="D371" t="s">
        <v>445</v>
      </c>
      <c r="E371">
        <v>6</v>
      </c>
      <c r="F371" t="s">
        <v>20</v>
      </c>
      <c r="G371" s="1">
        <v>1</v>
      </c>
      <c r="H371" s="1">
        <v>1</v>
      </c>
      <c r="I371" s="1">
        <v>1</v>
      </c>
      <c r="J371" t="s">
        <v>18</v>
      </c>
      <c r="K371" s="1">
        <v>1</v>
      </c>
      <c r="L371" s="1">
        <v>1</v>
      </c>
      <c r="M371" s="1">
        <v>1</v>
      </c>
    </row>
    <row r="372" spans="1:13" x14ac:dyDescent="0.3">
      <c r="A372" t="s">
        <v>447</v>
      </c>
      <c r="B372" t="s">
        <v>225</v>
      </c>
      <c r="C372" t="s">
        <v>42</v>
      </c>
      <c r="D372" t="s">
        <v>445</v>
      </c>
      <c r="E372">
        <v>6</v>
      </c>
      <c r="F372" t="s">
        <v>22</v>
      </c>
      <c r="G372" s="1">
        <v>1</v>
      </c>
      <c r="H372" s="1">
        <v>1</v>
      </c>
      <c r="I372" s="1">
        <v>1</v>
      </c>
      <c r="J372" t="s">
        <v>18</v>
      </c>
      <c r="K372" s="1">
        <v>1</v>
      </c>
      <c r="L372" s="1">
        <v>1</v>
      </c>
      <c r="M372" s="1">
        <v>1</v>
      </c>
    </row>
    <row r="373" spans="1:13" x14ac:dyDescent="0.3">
      <c r="A373" t="s">
        <v>448</v>
      </c>
      <c r="B373" t="s">
        <v>225</v>
      </c>
      <c r="C373" t="s">
        <v>42</v>
      </c>
      <c r="D373" t="s">
        <v>445</v>
      </c>
      <c r="E373">
        <v>6</v>
      </c>
      <c r="F373" t="s">
        <v>24</v>
      </c>
      <c r="G373" s="1">
        <v>1</v>
      </c>
      <c r="H373" s="1">
        <v>1</v>
      </c>
      <c r="I373" s="1">
        <v>1</v>
      </c>
      <c r="J373" t="s">
        <v>18</v>
      </c>
      <c r="K373" s="1">
        <v>1</v>
      </c>
      <c r="L373" s="1">
        <v>1</v>
      </c>
      <c r="M373" s="1">
        <v>1</v>
      </c>
    </row>
    <row r="374" spans="1:13" x14ac:dyDescent="0.3">
      <c r="A374" t="s">
        <v>449</v>
      </c>
      <c r="B374" t="s">
        <v>225</v>
      </c>
      <c r="C374" t="s">
        <v>42</v>
      </c>
      <c r="D374" t="s">
        <v>445</v>
      </c>
      <c r="E374">
        <v>6</v>
      </c>
      <c r="F374" t="s">
        <v>26</v>
      </c>
      <c r="G374" s="1">
        <v>1</v>
      </c>
      <c r="H374" s="1">
        <v>1</v>
      </c>
      <c r="I374" s="1">
        <v>1</v>
      </c>
      <c r="J374" t="s">
        <v>18</v>
      </c>
      <c r="K374" s="1">
        <v>1</v>
      </c>
      <c r="L374" s="1">
        <v>1</v>
      </c>
      <c r="M374" s="1">
        <v>1</v>
      </c>
    </row>
    <row r="375" spans="1:13" x14ac:dyDescent="0.3">
      <c r="A375" t="s">
        <v>450</v>
      </c>
      <c r="B375" t="s">
        <v>225</v>
      </c>
      <c r="C375" t="s">
        <v>42</v>
      </c>
      <c r="D375" t="s">
        <v>445</v>
      </c>
      <c r="E375">
        <v>6</v>
      </c>
      <c r="F375" t="s">
        <v>28</v>
      </c>
      <c r="G375" s="1">
        <v>1</v>
      </c>
      <c r="H375" s="1">
        <v>1</v>
      </c>
      <c r="I375" s="1">
        <v>1</v>
      </c>
      <c r="J375" t="s">
        <v>18</v>
      </c>
      <c r="K375" s="1">
        <v>1</v>
      </c>
      <c r="L375" s="1">
        <v>1</v>
      </c>
      <c r="M375" s="1">
        <v>1</v>
      </c>
    </row>
    <row r="376" spans="1:13" x14ac:dyDescent="0.3">
      <c r="A376" t="s">
        <v>451</v>
      </c>
      <c r="B376" t="s">
        <v>225</v>
      </c>
      <c r="C376" t="s">
        <v>42</v>
      </c>
      <c r="D376" t="s">
        <v>445</v>
      </c>
      <c r="E376">
        <v>6</v>
      </c>
      <c r="F376" t="s">
        <v>30</v>
      </c>
      <c r="G376" s="1">
        <v>1</v>
      </c>
      <c r="H376" s="1">
        <v>1</v>
      </c>
      <c r="I376" s="1">
        <v>1</v>
      </c>
      <c r="J376" t="s">
        <v>18</v>
      </c>
      <c r="K376" s="1">
        <v>1</v>
      </c>
      <c r="L376" s="1">
        <v>1</v>
      </c>
      <c r="M376" s="1">
        <v>1</v>
      </c>
    </row>
    <row r="377" spans="1:13" x14ac:dyDescent="0.3">
      <c r="A377" t="s">
        <v>452</v>
      </c>
      <c r="B377" t="s">
        <v>225</v>
      </c>
      <c r="C377" t="s">
        <v>42</v>
      </c>
      <c r="D377" t="s">
        <v>445</v>
      </c>
      <c r="E377">
        <v>6</v>
      </c>
      <c r="F377" t="s">
        <v>32</v>
      </c>
      <c r="G377" s="1">
        <v>1</v>
      </c>
      <c r="H377" s="1">
        <v>1</v>
      </c>
      <c r="I377" s="1">
        <v>1</v>
      </c>
      <c r="J377" t="s">
        <v>18</v>
      </c>
      <c r="K377" s="1">
        <v>1</v>
      </c>
      <c r="L377" s="1">
        <v>1</v>
      </c>
      <c r="M377" s="1">
        <v>1</v>
      </c>
    </row>
    <row r="378" spans="1:13" x14ac:dyDescent="0.3">
      <c r="A378" t="s">
        <v>453</v>
      </c>
      <c r="B378" t="s">
        <v>225</v>
      </c>
      <c r="C378" t="s">
        <v>42</v>
      </c>
      <c r="D378" t="s">
        <v>454</v>
      </c>
      <c r="E378">
        <v>6</v>
      </c>
      <c r="F378" t="s">
        <v>17</v>
      </c>
      <c r="G378" s="1">
        <v>1</v>
      </c>
      <c r="H378" s="1">
        <v>1</v>
      </c>
      <c r="I378" s="1">
        <v>1</v>
      </c>
      <c r="J378" t="s">
        <v>18</v>
      </c>
      <c r="K378" s="1">
        <v>1</v>
      </c>
      <c r="L378" s="1">
        <v>1</v>
      </c>
      <c r="M378" s="1">
        <v>1</v>
      </c>
    </row>
    <row r="379" spans="1:13" x14ac:dyDescent="0.3">
      <c r="A379" t="s">
        <v>455</v>
      </c>
      <c r="B379" t="s">
        <v>225</v>
      </c>
      <c r="C379" t="s">
        <v>42</v>
      </c>
      <c r="D379" t="s">
        <v>454</v>
      </c>
      <c r="E379">
        <v>6</v>
      </c>
      <c r="F379" t="s">
        <v>20</v>
      </c>
      <c r="G379" s="1">
        <v>1</v>
      </c>
      <c r="H379" s="1">
        <v>1</v>
      </c>
      <c r="I379" s="1">
        <v>1</v>
      </c>
      <c r="J379" t="s">
        <v>18</v>
      </c>
      <c r="K379" s="1">
        <v>1</v>
      </c>
      <c r="L379" s="1">
        <v>1</v>
      </c>
      <c r="M379" s="1">
        <v>1</v>
      </c>
    </row>
    <row r="380" spans="1:13" x14ac:dyDescent="0.3">
      <c r="A380" t="s">
        <v>456</v>
      </c>
      <c r="B380" t="s">
        <v>225</v>
      </c>
      <c r="C380" t="s">
        <v>42</v>
      </c>
      <c r="D380" t="s">
        <v>454</v>
      </c>
      <c r="E380">
        <v>6</v>
      </c>
      <c r="F380" t="s">
        <v>22</v>
      </c>
      <c r="G380" s="1">
        <v>1</v>
      </c>
      <c r="H380" s="1">
        <v>1</v>
      </c>
      <c r="I380" s="1">
        <v>1</v>
      </c>
      <c r="J380" t="s">
        <v>18</v>
      </c>
      <c r="K380" s="1">
        <v>1</v>
      </c>
      <c r="L380" s="1">
        <v>1</v>
      </c>
      <c r="M380" s="1">
        <v>1</v>
      </c>
    </row>
    <row r="381" spans="1:13" x14ac:dyDescent="0.3">
      <c r="A381" t="s">
        <v>457</v>
      </c>
      <c r="B381" t="s">
        <v>225</v>
      </c>
      <c r="C381" t="s">
        <v>42</v>
      </c>
      <c r="D381" t="s">
        <v>454</v>
      </c>
      <c r="E381">
        <v>6</v>
      </c>
      <c r="F381" t="s">
        <v>24</v>
      </c>
      <c r="G381" s="1">
        <v>1</v>
      </c>
      <c r="H381" s="1">
        <v>1</v>
      </c>
      <c r="I381" s="1">
        <v>1</v>
      </c>
      <c r="J381" t="s">
        <v>18</v>
      </c>
      <c r="K381" s="1">
        <v>1</v>
      </c>
      <c r="L381" s="1">
        <v>1</v>
      </c>
      <c r="M381" s="1">
        <v>1</v>
      </c>
    </row>
    <row r="382" spans="1:13" x14ac:dyDescent="0.3">
      <c r="A382" t="s">
        <v>458</v>
      </c>
      <c r="B382" t="s">
        <v>225</v>
      </c>
      <c r="C382" t="s">
        <v>42</v>
      </c>
      <c r="D382" t="s">
        <v>454</v>
      </c>
      <c r="E382">
        <v>6</v>
      </c>
      <c r="F382" t="s">
        <v>26</v>
      </c>
      <c r="G382" s="1">
        <v>1</v>
      </c>
      <c r="H382" s="1">
        <v>1</v>
      </c>
      <c r="I382" s="1">
        <v>1</v>
      </c>
      <c r="J382" t="s">
        <v>18</v>
      </c>
      <c r="K382" s="1">
        <v>1</v>
      </c>
      <c r="L382" s="1">
        <v>1</v>
      </c>
      <c r="M382" s="1">
        <v>1</v>
      </c>
    </row>
    <row r="383" spans="1:13" x14ac:dyDescent="0.3">
      <c r="A383" t="s">
        <v>459</v>
      </c>
      <c r="B383" t="s">
        <v>225</v>
      </c>
      <c r="C383" t="s">
        <v>42</v>
      </c>
      <c r="D383" t="s">
        <v>454</v>
      </c>
      <c r="E383">
        <v>6</v>
      </c>
      <c r="F383" t="s">
        <v>28</v>
      </c>
      <c r="G383" s="1">
        <v>1</v>
      </c>
      <c r="H383" s="1">
        <v>1</v>
      </c>
      <c r="I383" s="1">
        <v>1</v>
      </c>
      <c r="J383" t="s">
        <v>18</v>
      </c>
      <c r="K383" s="1">
        <v>1</v>
      </c>
      <c r="L383" s="1">
        <v>1</v>
      </c>
      <c r="M383" s="1">
        <v>1</v>
      </c>
    </row>
    <row r="384" spans="1:13" x14ac:dyDescent="0.3">
      <c r="A384" t="s">
        <v>460</v>
      </c>
      <c r="B384" t="s">
        <v>225</v>
      </c>
      <c r="C384" t="s">
        <v>42</v>
      </c>
      <c r="D384" t="s">
        <v>454</v>
      </c>
      <c r="E384">
        <v>6</v>
      </c>
      <c r="F384" t="s">
        <v>30</v>
      </c>
      <c r="G384" s="1">
        <v>1</v>
      </c>
      <c r="H384" s="1">
        <v>1</v>
      </c>
      <c r="I384" s="1">
        <v>1</v>
      </c>
      <c r="J384" t="s">
        <v>18</v>
      </c>
      <c r="K384" s="1">
        <v>1</v>
      </c>
      <c r="L384" s="1">
        <v>1</v>
      </c>
      <c r="M384" s="1">
        <v>1</v>
      </c>
    </row>
    <row r="385" spans="1:13" x14ac:dyDescent="0.3">
      <c r="A385" t="s">
        <v>461</v>
      </c>
      <c r="B385" t="s">
        <v>225</v>
      </c>
      <c r="C385" t="s">
        <v>42</v>
      </c>
      <c r="D385" t="s">
        <v>454</v>
      </c>
      <c r="E385">
        <v>6</v>
      </c>
      <c r="F385" t="s">
        <v>32</v>
      </c>
      <c r="G385" s="1">
        <v>1</v>
      </c>
      <c r="H385" s="1">
        <v>1</v>
      </c>
      <c r="I385" s="1">
        <v>1</v>
      </c>
      <c r="J385" t="s">
        <v>18</v>
      </c>
      <c r="K385" s="1">
        <v>1</v>
      </c>
      <c r="L385" s="1">
        <v>1</v>
      </c>
      <c r="M385" s="1">
        <v>1</v>
      </c>
    </row>
    <row r="386" spans="1:13" x14ac:dyDescent="0.3">
      <c r="A386" t="s">
        <v>462</v>
      </c>
      <c r="B386" t="s">
        <v>225</v>
      </c>
      <c r="C386" t="s">
        <v>42</v>
      </c>
      <c r="D386" t="s">
        <v>454</v>
      </c>
      <c r="E386">
        <v>6</v>
      </c>
      <c r="F386" t="s">
        <v>34</v>
      </c>
      <c r="G386" s="1">
        <v>1</v>
      </c>
      <c r="H386" s="1">
        <v>1</v>
      </c>
      <c r="I386" s="1">
        <v>1</v>
      </c>
      <c r="J386" t="s">
        <v>18</v>
      </c>
      <c r="K386" s="1">
        <v>1</v>
      </c>
      <c r="L386" s="1">
        <v>1</v>
      </c>
      <c r="M386" s="1">
        <v>1</v>
      </c>
    </row>
    <row r="387" spans="1:13" x14ac:dyDescent="0.3">
      <c r="A387" t="s">
        <v>463</v>
      </c>
      <c r="B387" t="s">
        <v>225</v>
      </c>
      <c r="C387" t="s">
        <v>42</v>
      </c>
      <c r="D387" t="s">
        <v>454</v>
      </c>
      <c r="E387">
        <v>6</v>
      </c>
      <c r="F387" t="s">
        <v>36</v>
      </c>
      <c r="G387" s="1">
        <v>1</v>
      </c>
      <c r="H387" s="1">
        <v>1</v>
      </c>
      <c r="I387" s="1">
        <v>1</v>
      </c>
      <c r="J387" t="s">
        <v>18</v>
      </c>
      <c r="K387" s="1">
        <v>1</v>
      </c>
      <c r="L387" s="1">
        <v>1</v>
      </c>
      <c r="M387" s="1">
        <v>1</v>
      </c>
    </row>
    <row r="388" spans="1:13" x14ac:dyDescent="0.3">
      <c r="A388" t="s">
        <v>464</v>
      </c>
      <c r="B388" t="s">
        <v>225</v>
      </c>
      <c r="C388" t="s">
        <v>42</v>
      </c>
      <c r="D388" t="s">
        <v>454</v>
      </c>
      <c r="E388">
        <v>6</v>
      </c>
      <c r="F388" t="s">
        <v>38</v>
      </c>
      <c r="G388" s="1">
        <v>1</v>
      </c>
      <c r="H388" s="1">
        <v>1</v>
      </c>
      <c r="I388" s="1">
        <v>1</v>
      </c>
      <c r="J388" t="s">
        <v>18</v>
      </c>
      <c r="K388" s="1">
        <v>1</v>
      </c>
      <c r="L388" s="1">
        <v>1</v>
      </c>
      <c r="M388" s="1">
        <v>1</v>
      </c>
    </row>
    <row r="389" spans="1:13" x14ac:dyDescent="0.3">
      <c r="A389" t="s">
        <v>465</v>
      </c>
      <c r="B389" t="s">
        <v>225</v>
      </c>
      <c r="C389" t="s">
        <v>42</v>
      </c>
      <c r="D389" t="s">
        <v>454</v>
      </c>
      <c r="E389">
        <v>6</v>
      </c>
      <c r="F389" t="s">
        <v>40</v>
      </c>
      <c r="G389" s="1">
        <v>1</v>
      </c>
      <c r="H389" s="1">
        <v>1</v>
      </c>
      <c r="I389" s="1">
        <v>1</v>
      </c>
      <c r="J389" t="s">
        <v>18</v>
      </c>
      <c r="K389" s="1">
        <v>1</v>
      </c>
      <c r="L389" s="1">
        <v>1</v>
      </c>
      <c r="M389" s="1">
        <v>1</v>
      </c>
    </row>
    <row r="390" spans="1:13" x14ac:dyDescent="0.3">
      <c r="A390" t="s">
        <v>466</v>
      </c>
      <c r="B390" t="s">
        <v>225</v>
      </c>
      <c r="C390" t="s">
        <v>42</v>
      </c>
      <c r="D390" t="s">
        <v>454</v>
      </c>
      <c r="E390">
        <v>6</v>
      </c>
      <c r="F390" t="s">
        <v>64</v>
      </c>
      <c r="G390" s="1">
        <v>1</v>
      </c>
      <c r="H390" s="1">
        <v>1</v>
      </c>
      <c r="I390" s="1">
        <v>1</v>
      </c>
      <c r="J390" t="s">
        <v>18</v>
      </c>
      <c r="K390" s="1">
        <v>1</v>
      </c>
      <c r="L390" s="1">
        <v>1</v>
      </c>
      <c r="M390" s="1">
        <v>1</v>
      </c>
    </row>
    <row r="391" spans="1:13" x14ac:dyDescent="0.3">
      <c r="A391" t="s">
        <v>467</v>
      </c>
      <c r="B391" t="s">
        <v>225</v>
      </c>
      <c r="C391" t="s">
        <v>42</v>
      </c>
      <c r="D391" t="s">
        <v>454</v>
      </c>
      <c r="E391">
        <v>6</v>
      </c>
      <c r="F391" t="s">
        <v>66</v>
      </c>
      <c r="G391" s="1">
        <v>1</v>
      </c>
      <c r="H391" s="1">
        <v>1</v>
      </c>
      <c r="I391" s="1">
        <v>1</v>
      </c>
      <c r="J391" t="s">
        <v>18</v>
      </c>
      <c r="K391" s="1">
        <v>1</v>
      </c>
      <c r="L391" s="1">
        <v>1</v>
      </c>
      <c r="M391" s="1">
        <v>1</v>
      </c>
    </row>
    <row r="392" spans="1:13" x14ac:dyDescent="0.3">
      <c r="A392" t="s">
        <v>468</v>
      </c>
      <c r="B392" t="s">
        <v>225</v>
      </c>
      <c r="C392" t="s">
        <v>42</v>
      </c>
      <c r="D392" t="s">
        <v>454</v>
      </c>
      <c r="E392">
        <v>6</v>
      </c>
      <c r="F392" t="s">
        <v>68</v>
      </c>
      <c r="G392" s="1">
        <v>1</v>
      </c>
      <c r="H392" s="1">
        <v>1</v>
      </c>
      <c r="I392" s="1">
        <v>1</v>
      </c>
      <c r="J392" t="s">
        <v>18</v>
      </c>
      <c r="K392" s="1">
        <v>1</v>
      </c>
      <c r="L392" s="1">
        <v>1</v>
      </c>
      <c r="M392" s="1">
        <v>1</v>
      </c>
    </row>
    <row r="393" spans="1:13" x14ac:dyDescent="0.3">
      <c r="A393" t="s">
        <v>469</v>
      </c>
      <c r="B393" t="s">
        <v>225</v>
      </c>
      <c r="C393" t="s">
        <v>42</v>
      </c>
      <c r="D393" t="s">
        <v>454</v>
      </c>
      <c r="E393">
        <v>6</v>
      </c>
      <c r="F393" t="s">
        <v>70</v>
      </c>
      <c r="G393" s="1">
        <v>1</v>
      </c>
      <c r="H393" s="1">
        <v>1</v>
      </c>
      <c r="I393" s="1">
        <v>1</v>
      </c>
      <c r="J393" t="s">
        <v>18</v>
      </c>
      <c r="K393" s="1">
        <v>1</v>
      </c>
      <c r="L393" s="1">
        <v>1</v>
      </c>
      <c r="M393" s="1">
        <v>1</v>
      </c>
    </row>
    <row r="394" spans="1:13" x14ac:dyDescent="0.3">
      <c r="A394" t="s">
        <v>470</v>
      </c>
      <c r="B394" t="s">
        <v>225</v>
      </c>
      <c r="C394" t="s">
        <v>42</v>
      </c>
      <c r="D394" t="s">
        <v>454</v>
      </c>
      <c r="E394">
        <v>6</v>
      </c>
      <c r="F394" t="s">
        <v>72</v>
      </c>
      <c r="G394" s="1">
        <v>1</v>
      </c>
      <c r="H394" s="1">
        <v>1</v>
      </c>
      <c r="I394" s="1">
        <v>1</v>
      </c>
      <c r="J394" t="s">
        <v>18</v>
      </c>
      <c r="K394" s="1">
        <v>1</v>
      </c>
      <c r="L394" s="1">
        <v>1</v>
      </c>
      <c r="M394" s="1">
        <v>1</v>
      </c>
    </row>
    <row r="395" spans="1:13" x14ac:dyDescent="0.3">
      <c r="A395" t="s">
        <v>471</v>
      </c>
      <c r="B395" t="s">
        <v>225</v>
      </c>
      <c r="C395" t="s">
        <v>42</v>
      </c>
      <c r="D395" t="s">
        <v>454</v>
      </c>
      <c r="E395">
        <v>6</v>
      </c>
      <c r="F395" t="s">
        <v>74</v>
      </c>
      <c r="G395" s="1">
        <v>1</v>
      </c>
      <c r="H395" s="1">
        <v>1</v>
      </c>
      <c r="I395" s="1">
        <v>1</v>
      </c>
      <c r="J395" t="s">
        <v>18</v>
      </c>
      <c r="K395" s="1">
        <v>1</v>
      </c>
      <c r="L395" s="1">
        <v>1</v>
      </c>
      <c r="M395" s="1">
        <v>1</v>
      </c>
    </row>
    <row r="396" spans="1:13" x14ac:dyDescent="0.3">
      <c r="A396" t="s">
        <v>472</v>
      </c>
      <c r="B396" t="s">
        <v>225</v>
      </c>
      <c r="C396" t="s">
        <v>42</v>
      </c>
      <c r="D396" t="s">
        <v>454</v>
      </c>
      <c r="E396">
        <v>6</v>
      </c>
      <c r="F396" t="s">
        <v>76</v>
      </c>
      <c r="G396" s="1">
        <v>1</v>
      </c>
      <c r="H396" s="1">
        <v>1</v>
      </c>
      <c r="I396" s="1">
        <v>1</v>
      </c>
      <c r="J396" t="s">
        <v>18</v>
      </c>
      <c r="K396" s="1">
        <v>1</v>
      </c>
      <c r="L396" s="1">
        <v>1</v>
      </c>
      <c r="M396" s="1">
        <v>1</v>
      </c>
    </row>
    <row r="397" spans="1:13" x14ac:dyDescent="0.3">
      <c r="A397" t="s">
        <v>473</v>
      </c>
      <c r="B397" t="s">
        <v>225</v>
      </c>
      <c r="C397" t="s">
        <v>42</v>
      </c>
      <c r="D397" t="s">
        <v>454</v>
      </c>
      <c r="E397">
        <v>6</v>
      </c>
      <c r="F397" t="s">
        <v>78</v>
      </c>
      <c r="G397" s="1">
        <v>1</v>
      </c>
      <c r="H397" s="1">
        <v>1</v>
      </c>
      <c r="I397" s="1">
        <v>1</v>
      </c>
      <c r="J397" t="s">
        <v>18</v>
      </c>
      <c r="K397" s="1">
        <v>1</v>
      </c>
      <c r="L397" s="1">
        <v>1</v>
      </c>
      <c r="M397" s="1">
        <v>1</v>
      </c>
    </row>
    <row r="398" spans="1:13" x14ac:dyDescent="0.3">
      <c r="A398" t="s">
        <v>474</v>
      </c>
      <c r="B398" t="s">
        <v>225</v>
      </c>
      <c r="C398" t="s">
        <v>42</v>
      </c>
      <c r="D398" t="s">
        <v>475</v>
      </c>
      <c r="E398">
        <v>6</v>
      </c>
      <c r="F398" t="s">
        <v>17</v>
      </c>
      <c r="G398" s="1">
        <v>1</v>
      </c>
      <c r="H398" s="1">
        <v>1</v>
      </c>
      <c r="I398" s="1">
        <v>1</v>
      </c>
      <c r="J398" t="s">
        <v>18</v>
      </c>
      <c r="K398" s="1">
        <v>1</v>
      </c>
      <c r="L398" s="1">
        <v>1</v>
      </c>
      <c r="M398" s="1">
        <v>1</v>
      </c>
    </row>
    <row r="399" spans="1:13" x14ac:dyDescent="0.3">
      <c r="A399" t="s">
        <v>476</v>
      </c>
      <c r="B399" t="s">
        <v>225</v>
      </c>
      <c r="C399" t="s">
        <v>42</v>
      </c>
      <c r="D399" t="s">
        <v>475</v>
      </c>
      <c r="E399">
        <v>6</v>
      </c>
      <c r="F399" t="s">
        <v>20</v>
      </c>
      <c r="G399" s="1">
        <v>1</v>
      </c>
      <c r="H399" s="1">
        <v>1</v>
      </c>
      <c r="I399" s="1">
        <v>1</v>
      </c>
      <c r="J399" t="s">
        <v>18</v>
      </c>
      <c r="K399" s="1">
        <v>1</v>
      </c>
      <c r="L399" s="1">
        <v>1</v>
      </c>
      <c r="M399" s="1">
        <v>1</v>
      </c>
    </row>
    <row r="400" spans="1:13" x14ac:dyDescent="0.3">
      <c r="A400" t="s">
        <v>477</v>
      </c>
      <c r="B400" t="s">
        <v>225</v>
      </c>
      <c r="C400" t="s">
        <v>42</v>
      </c>
      <c r="D400" t="s">
        <v>475</v>
      </c>
      <c r="E400">
        <v>6</v>
      </c>
      <c r="F400" t="s">
        <v>22</v>
      </c>
      <c r="G400" s="1">
        <v>1</v>
      </c>
      <c r="H400" s="1">
        <v>1</v>
      </c>
      <c r="I400" s="1">
        <v>1</v>
      </c>
      <c r="J400" t="s">
        <v>18</v>
      </c>
      <c r="K400" s="1">
        <v>1</v>
      </c>
      <c r="L400" s="1">
        <v>1</v>
      </c>
      <c r="M400" s="1">
        <v>1</v>
      </c>
    </row>
    <row r="401" spans="1:13" x14ac:dyDescent="0.3">
      <c r="A401" t="s">
        <v>478</v>
      </c>
      <c r="B401" t="s">
        <v>225</v>
      </c>
      <c r="C401" t="s">
        <v>42</v>
      </c>
      <c r="D401" t="s">
        <v>475</v>
      </c>
      <c r="E401">
        <v>6</v>
      </c>
      <c r="F401" t="s">
        <v>24</v>
      </c>
      <c r="G401" s="1">
        <v>1</v>
      </c>
      <c r="H401" s="1">
        <v>1</v>
      </c>
      <c r="I401" s="1">
        <v>1</v>
      </c>
      <c r="J401" t="s">
        <v>18</v>
      </c>
      <c r="K401" s="1">
        <v>1</v>
      </c>
      <c r="L401" s="1">
        <v>1</v>
      </c>
      <c r="M401" s="1">
        <v>1</v>
      </c>
    </row>
    <row r="402" spans="1:13" x14ac:dyDescent="0.3">
      <c r="A402" t="s">
        <v>479</v>
      </c>
      <c r="B402" t="s">
        <v>225</v>
      </c>
      <c r="C402" t="s">
        <v>42</v>
      </c>
      <c r="D402" t="s">
        <v>475</v>
      </c>
      <c r="E402">
        <v>6</v>
      </c>
      <c r="F402" t="s">
        <v>26</v>
      </c>
      <c r="G402" s="1">
        <v>1</v>
      </c>
      <c r="H402" s="1">
        <v>1</v>
      </c>
      <c r="I402" s="1">
        <v>1</v>
      </c>
      <c r="J402" t="s">
        <v>18</v>
      </c>
      <c r="K402" s="1">
        <v>1</v>
      </c>
      <c r="L402" s="1">
        <v>1</v>
      </c>
      <c r="M402" s="1">
        <v>1</v>
      </c>
    </row>
    <row r="403" spans="1:13" x14ac:dyDescent="0.3">
      <c r="A403" t="s">
        <v>480</v>
      </c>
      <c r="B403" t="s">
        <v>225</v>
      </c>
      <c r="C403" t="s">
        <v>42</v>
      </c>
      <c r="D403" t="s">
        <v>475</v>
      </c>
      <c r="E403">
        <v>6</v>
      </c>
      <c r="F403" t="s">
        <v>28</v>
      </c>
      <c r="G403" s="1">
        <v>1</v>
      </c>
      <c r="H403" s="1">
        <v>1</v>
      </c>
      <c r="I403" s="1">
        <v>1</v>
      </c>
      <c r="J403" t="s">
        <v>18</v>
      </c>
      <c r="K403" s="1">
        <v>1</v>
      </c>
      <c r="L403" s="1">
        <v>1</v>
      </c>
      <c r="M403" s="1">
        <v>1</v>
      </c>
    </row>
    <row r="404" spans="1:13" x14ac:dyDescent="0.3">
      <c r="A404" t="s">
        <v>481</v>
      </c>
      <c r="B404" t="s">
        <v>225</v>
      </c>
      <c r="C404" t="s">
        <v>42</v>
      </c>
      <c r="D404" t="s">
        <v>475</v>
      </c>
      <c r="E404">
        <v>6</v>
      </c>
      <c r="F404" t="s">
        <v>30</v>
      </c>
      <c r="G404" s="1">
        <v>1</v>
      </c>
      <c r="H404" s="1">
        <v>1</v>
      </c>
      <c r="I404" s="1">
        <v>1</v>
      </c>
      <c r="J404" t="s">
        <v>18</v>
      </c>
      <c r="K404" s="1">
        <v>1</v>
      </c>
      <c r="L404" s="1">
        <v>1</v>
      </c>
      <c r="M404" s="1">
        <v>1</v>
      </c>
    </row>
    <row r="405" spans="1:13" x14ac:dyDescent="0.3">
      <c r="A405" t="s">
        <v>482</v>
      </c>
      <c r="B405" t="s">
        <v>225</v>
      </c>
      <c r="C405" t="s">
        <v>42</v>
      </c>
      <c r="D405" t="s">
        <v>475</v>
      </c>
      <c r="E405">
        <v>6</v>
      </c>
      <c r="F405" t="s">
        <v>32</v>
      </c>
      <c r="G405" s="1">
        <v>1</v>
      </c>
      <c r="H405" s="1">
        <v>1</v>
      </c>
      <c r="I405" s="1">
        <v>1</v>
      </c>
      <c r="J405" t="s">
        <v>18</v>
      </c>
      <c r="K405" s="1">
        <v>1</v>
      </c>
      <c r="L405" s="1">
        <v>1</v>
      </c>
      <c r="M405" s="1">
        <v>1</v>
      </c>
    </row>
    <row r="406" spans="1:13" x14ac:dyDescent="0.3">
      <c r="A406" t="s">
        <v>483</v>
      </c>
      <c r="B406" t="s">
        <v>225</v>
      </c>
      <c r="C406" t="s">
        <v>42</v>
      </c>
      <c r="D406" t="s">
        <v>475</v>
      </c>
      <c r="E406">
        <v>6</v>
      </c>
      <c r="F406" t="s">
        <v>34</v>
      </c>
      <c r="G406" s="1">
        <v>1</v>
      </c>
      <c r="H406" s="1">
        <v>1</v>
      </c>
      <c r="I406" s="1">
        <v>1</v>
      </c>
      <c r="J406" t="s">
        <v>18</v>
      </c>
      <c r="K406" s="1">
        <v>1</v>
      </c>
      <c r="L406" s="1">
        <v>1</v>
      </c>
      <c r="M406" s="1">
        <v>1</v>
      </c>
    </row>
    <row r="407" spans="1:13" x14ac:dyDescent="0.3">
      <c r="A407" t="s">
        <v>484</v>
      </c>
      <c r="B407" t="s">
        <v>225</v>
      </c>
      <c r="C407" t="s">
        <v>42</v>
      </c>
      <c r="D407" t="s">
        <v>475</v>
      </c>
      <c r="E407">
        <v>6</v>
      </c>
      <c r="F407" t="s">
        <v>36</v>
      </c>
      <c r="G407" s="1">
        <v>1</v>
      </c>
      <c r="H407" s="1">
        <v>1</v>
      </c>
      <c r="I407" s="1">
        <v>1</v>
      </c>
      <c r="J407" t="s">
        <v>18</v>
      </c>
      <c r="K407" s="1">
        <v>1</v>
      </c>
      <c r="L407" s="1">
        <v>1</v>
      </c>
      <c r="M407" s="1">
        <v>1</v>
      </c>
    </row>
    <row r="408" spans="1:13" x14ac:dyDescent="0.3">
      <c r="A408" t="s">
        <v>485</v>
      </c>
      <c r="B408" t="s">
        <v>225</v>
      </c>
      <c r="C408" t="s">
        <v>42</v>
      </c>
      <c r="D408" t="s">
        <v>475</v>
      </c>
      <c r="E408">
        <v>6</v>
      </c>
      <c r="F408" t="s">
        <v>38</v>
      </c>
      <c r="G408" s="1">
        <v>1</v>
      </c>
      <c r="H408" s="1">
        <v>1</v>
      </c>
      <c r="I408" s="1">
        <v>1</v>
      </c>
      <c r="J408" t="s">
        <v>18</v>
      </c>
      <c r="K408" s="1">
        <v>1</v>
      </c>
      <c r="L408" s="1">
        <v>1</v>
      </c>
      <c r="M408" s="1">
        <v>1</v>
      </c>
    </row>
    <row r="409" spans="1:13" x14ac:dyDescent="0.3">
      <c r="A409" t="s">
        <v>486</v>
      </c>
      <c r="B409" t="s">
        <v>225</v>
      </c>
      <c r="C409" t="s">
        <v>42</v>
      </c>
      <c r="D409" t="s">
        <v>475</v>
      </c>
      <c r="E409">
        <v>6</v>
      </c>
      <c r="F409" t="s">
        <v>40</v>
      </c>
      <c r="G409" s="1">
        <v>1</v>
      </c>
      <c r="H409" s="1">
        <v>1</v>
      </c>
      <c r="I409" s="1">
        <v>1</v>
      </c>
      <c r="J409" t="s">
        <v>18</v>
      </c>
      <c r="K409" s="1">
        <v>1</v>
      </c>
      <c r="L409" s="1">
        <v>1</v>
      </c>
      <c r="M409" s="1">
        <v>1</v>
      </c>
    </row>
    <row r="410" spans="1:13" x14ac:dyDescent="0.3">
      <c r="A410" t="s">
        <v>487</v>
      </c>
      <c r="B410" t="s">
        <v>225</v>
      </c>
      <c r="C410" t="s">
        <v>42</v>
      </c>
      <c r="D410" t="s">
        <v>475</v>
      </c>
      <c r="E410">
        <v>6</v>
      </c>
      <c r="F410" t="s">
        <v>64</v>
      </c>
      <c r="G410" s="1">
        <v>1</v>
      </c>
      <c r="H410" s="1">
        <v>1</v>
      </c>
      <c r="I410" s="1">
        <v>1</v>
      </c>
      <c r="J410" t="s">
        <v>18</v>
      </c>
      <c r="K410" s="1">
        <v>1</v>
      </c>
      <c r="L410" s="1">
        <v>1</v>
      </c>
      <c r="M410" s="1">
        <v>1</v>
      </c>
    </row>
    <row r="411" spans="1:13" x14ac:dyDescent="0.3">
      <c r="A411" t="s">
        <v>488</v>
      </c>
      <c r="B411" t="s">
        <v>225</v>
      </c>
      <c r="C411" t="s">
        <v>42</v>
      </c>
      <c r="D411" t="s">
        <v>475</v>
      </c>
      <c r="E411">
        <v>6</v>
      </c>
      <c r="F411" t="s">
        <v>66</v>
      </c>
      <c r="G411" s="1">
        <v>1</v>
      </c>
      <c r="H411" s="1">
        <v>1</v>
      </c>
      <c r="I411" s="1">
        <v>1</v>
      </c>
      <c r="J411" t="s">
        <v>18</v>
      </c>
      <c r="K411" s="1">
        <v>1</v>
      </c>
      <c r="L411" s="1">
        <v>1</v>
      </c>
      <c r="M411" s="1">
        <v>1</v>
      </c>
    </row>
    <row r="412" spans="1:13" x14ac:dyDescent="0.3">
      <c r="A412" t="s">
        <v>489</v>
      </c>
      <c r="B412" t="s">
        <v>225</v>
      </c>
      <c r="C412" t="s">
        <v>42</v>
      </c>
      <c r="D412" t="s">
        <v>475</v>
      </c>
      <c r="E412">
        <v>6</v>
      </c>
      <c r="F412" t="s">
        <v>68</v>
      </c>
      <c r="G412" s="1">
        <v>1</v>
      </c>
      <c r="H412" s="1">
        <v>1</v>
      </c>
      <c r="I412" s="1">
        <v>1</v>
      </c>
      <c r="J412" t="s">
        <v>18</v>
      </c>
      <c r="K412" s="1">
        <v>1</v>
      </c>
      <c r="L412" s="1">
        <v>1</v>
      </c>
      <c r="M412" s="1">
        <v>1</v>
      </c>
    </row>
    <row r="413" spans="1:13" x14ac:dyDescent="0.3">
      <c r="A413" t="s">
        <v>490</v>
      </c>
      <c r="B413" t="s">
        <v>225</v>
      </c>
      <c r="C413" t="s">
        <v>42</v>
      </c>
      <c r="D413" t="s">
        <v>475</v>
      </c>
      <c r="E413">
        <v>6</v>
      </c>
      <c r="F413" t="s">
        <v>70</v>
      </c>
      <c r="G413" s="1">
        <v>1</v>
      </c>
      <c r="H413" s="1">
        <v>1</v>
      </c>
      <c r="I413" s="1">
        <v>1</v>
      </c>
      <c r="J413" t="s">
        <v>18</v>
      </c>
      <c r="K413" s="1">
        <v>1</v>
      </c>
      <c r="L413" s="1">
        <v>1</v>
      </c>
      <c r="M413" s="1">
        <v>1</v>
      </c>
    </row>
    <row r="414" spans="1:13" x14ac:dyDescent="0.3">
      <c r="A414" t="s">
        <v>491</v>
      </c>
      <c r="B414" t="s">
        <v>225</v>
      </c>
      <c r="C414" t="s">
        <v>42</v>
      </c>
      <c r="D414" t="s">
        <v>475</v>
      </c>
      <c r="E414">
        <v>6</v>
      </c>
      <c r="F414" t="s">
        <v>72</v>
      </c>
      <c r="G414" s="1">
        <v>1</v>
      </c>
      <c r="H414" s="1">
        <v>1</v>
      </c>
      <c r="I414" s="1">
        <v>1</v>
      </c>
      <c r="J414" t="s">
        <v>18</v>
      </c>
      <c r="K414" s="1">
        <v>1</v>
      </c>
      <c r="L414" s="1">
        <v>1</v>
      </c>
      <c r="M414" s="1">
        <v>1</v>
      </c>
    </row>
    <row r="415" spans="1:13" x14ac:dyDescent="0.3">
      <c r="A415" t="s">
        <v>492</v>
      </c>
      <c r="B415" t="s">
        <v>225</v>
      </c>
      <c r="C415" t="s">
        <v>42</v>
      </c>
      <c r="D415" t="s">
        <v>493</v>
      </c>
      <c r="E415">
        <v>6</v>
      </c>
      <c r="F415" t="s">
        <v>17</v>
      </c>
      <c r="G415" s="1">
        <v>1</v>
      </c>
      <c r="H415" s="1">
        <v>1</v>
      </c>
      <c r="I415" s="1">
        <v>1</v>
      </c>
      <c r="J415" t="s">
        <v>18</v>
      </c>
      <c r="K415" s="1">
        <v>1</v>
      </c>
      <c r="L415" s="1">
        <v>1</v>
      </c>
      <c r="M415" s="1">
        <v>1</v>
      </c>
    </row>
    <row r="416" spans="1:13" x14ac:dyDescent="0.3">
      <c r="A416" t="s">
        <v>494</v>
      </c>
      <c r="B416" t="s">
        <v>225</v>
      </c>
      <c r="C416" t="s">
        <v>42</v>
      </c>
      <c r="D416" t="s">
        <v>493</v>
      </c>
      <c r="E416">
        <v>6</v>
      </c>
      <c r="F416" t="s">
        <v>20</v>
      </c>
      <c r="G416" s="1">
        <v>1</v>
      </c>
      <c r="H416" s="1">
        <v>1</v>
      </c>
      <c r="I416" s="1">
        <v>1</v>
      </c>
      <c r="J416" t="s">
        <v>18</v>
      </c>
      <c r="K416" s="1">
        <v>1</v>
      </c>
      <c r="L416" s="1">
        <v>1</v>
      </c>
      <c r="M416" s="1">
        <v>1</v>
      </c>
    </row>
    <row r="417" spans="1:13" x14ac:dyDescent="0.3">
      <c r="A417" t="s">
        <v>495</v>
      </c>
      <c r="B417" t="s">
        <v>225</v>
      </c>
      <c r="C417" t="s">
        <v>42</v>
      </c>
      <c r="D417" t="s">
        <v>493</v>
      </c>
      <c r="E417">
        <v>6</v>
      </c>
      <c r="F417" t="s">
        <v>22</v>
      </c>
      <c r="G417" s="1">
        <v>1</v>
      </c>
      <c r="H417" s="1">
        <v>1</v>
      </c>
      <c r="I417" s="1">
        <v>1</v>
      </c>
      <c r="J417" t="s">
        <v>18</v>
      </c>
      <c r="K417" s="1">
        <v>1</v>
      </c>
      <c r="L417" s="1">
        <v>1</v>
      </c>
      <c r="M417" s="1">
        <v>1</v>
      </c>
    </row>
    <row r="418" spans="1:13" x14ac:dyDescent="0.3">
      <c r="A418" t="s">
        <v>496</v>
      </c>
      <c r="B418" t="s">
        <v>225</v>
      </c>
      <c r="C418" t="s">
        <v>42</v>
      </c>
      <c r="D418" t="s">
        <v>493</v>
      </c>
      <c r="E418">
        <v>6</v>
      </c>
      <c r="F418" t="s">
        <v>24</v>
      </c>
      <c r="G418" s="1">
        <v>1</v>
      </c>
      <c r="H418" s="1">
        <v>1</v>
      </c>
      <c r="I418" s="1">
        <v>1</v>
      </c>
      <c r="J418" t="s">
        <v>18</v>
      </c>
      <c r="K418" s="1">
        <v>1</v>
      </c>
      <c r="L418" s="1">
        <v>1</v>
      </c>
      <c r="M418" s="1">
        <v>1</v>
      </c>
    </row>
    <row r="419" spans="1:13" x14ac:dyDescent="0.3">
      <c r="A419" t="s">
        <v>497</v>
      </c>
      <c r="B419" t="s">
        <v>225</v>
      </c>
      <c r="C419" t="s">
        <v>42</v>
      </c>
      <c r="D419" t="s">
        <v>493</v>
      </c>
      <c r="E419">
        <v>6</v>
      </c>
      <c r="F419" t="s">
        <v>26</v>
      </c>
      <c r="G419" s="1">
        <v>1</v>
      </c>
      <c r="H419" s="1">
        <v>1</v>
      </c>
      <c r="I419" s="1">
        <v>1</v>
      </c>
      <c r="J419" t="s">
        <v>18</v>
      </c>
      <c r="K419" s="1">
        <v>1</v>
      </c>
      <c r="L419" s="1">
        <v>1</v>
      </c>
      <c r="M419" s="1">
        <v>1</v>
      </c>
    </row>
    <row r="420" spans="1:13" x14ac:dyDescent="0.3">
      <c r="A420" t="s">
        <v>498</v>
      </c>
      <c r="B420" t="s">
        <v>225</v>
      </c>
      <c r="C420" t="s">
        <v>42</v>
      </c>
      <c r="D420" t="s">
        <v>493</v>
      </c>
      <c r="E420">
        <v>6</v>
      </c>
      <c r="F420" t="s">
        <v>28</v>
      </c>
      <c r="G420" s="1">
        <v>1</v>
      </c>
      <c r="H420" s="1">
        <v>1</v>
      </c>
      <c r="I420" s="1">
        <v>1</v>
      </c>
      <c r="J420" t="s">
        <v>18</v>
      </c>
      <c r="K420" s="1">
        <v>1</v>
      </c>
      <c r="L420" s="1">
        <v>1</v>
      </c>
      <c r="M420" s="1">
        <v>1</v>
      </c>
    </row>
    <row r="421" spans="1:13" x14ac:dyDescent="0.3">
      <c r="A421" t="s">
        <v>499</v>
      </c>
      <c r="B421" t="s">
        <v>225</v>
      </c>
      <c r="C421" t="s">
        <v>42</v>
      </c>
      <c r="D421" t="s">
        <v>493</v>
      </c>
      <c r="E421">
        <v>6</v>
      </c>
      <c r="F421" t="s">
        <v>30</v>
      </c>
      <c r="G421" s="1">
        <v>1</v>
      </c>
      <c r="H421" s="1">
        <v>1</v>
      </c>
      <c r="I421" s="1">
        <v>1</v>
      </c>
      <c r="J421" t="s">
        <v>18</v>
      </c>
      <c r="K421" s="1">
        <v>1</v>
      </c>
      <c r="L421" s="1">
        <v>1</v>
      </c>
      <c r="M421" s="1">
        <v>1</v>
      </c>
    </row>
    <row r="422" spans="1:13" x14ac:dyDescent="0.3">
      <c r="A422" t="s">
        <v>500</v>
      </c>
      <c r="B422" t="s">
        <v>225</v>
      </c>
      <c r="C422" t="s">
        <v>42</v>
      </c>
      <c r="D422" t="s">
        <v>493</v>
      </c>
      <c r="E422">
        <v>6</v>
      </c>
      <c r="F422" t="s">
        <v>32</v>
      </c>
      <c r="G422" s="1">
        <v>1</v>
      </c>
      <c r="H422" s="1">
        <v>1</v>
      </c>
      <c r="I422" s="1">
        <v>1</v>
      </c>
      <c r="J422" t="s">
        <v>18</v>
      </c>
      <c r="K422" s="1">
        <v>1</v>
      </c>
      <c r="L422" s="1">
        <v>1</v>
      </c>
      <c r="M422" s="1">
        <v>1</v>
      </c>
    </row>
    <row r="423" spans="1:13" x14ac:dyDescent="0.3">
      <c r="A423" t="s">
        <v>501</v>
      </c>
      <c r="B423" t="s">
        <v>225</v>
      </c>
      <c r="C423" t="s">
        <v>42</v>
      </c>
      <c r="D423" t="s">
        <v>493</v>
      </c>
      <c r="E423">
        <v>6</v>
      </c>
      <c r="F423" t="s">
        <v>34</v>
      </c>
      <c r="G423" s="1">
        <v>1</v>
      </c>
      <c r="H423" s="1">
        <v>1</v>
      </c>
      <c r="I423" s="1">
        <v>1</v>
      </c>
      <c r="J423" t="s">
        <v>18</v>
      </c>
      <c r="K423" s="1">
        <v>1</v>
      </c>
      <c r="L423" s="1">
        <v>1</v>
      </c>
      <c r="M423" s="1">
        <v>1</v>
      </c>
    </row>
    <row r="424" spans="1:13" x14ac:dyDescent="0.3">
      <c r="A424" t="s">
        <v>502</v>
      </c>
      <c r="B424" t="s">
        <v>225</v>
      </c>
      <c r="C424" t="s">
        <v>42</v>
      </c>
      <c r="D424" t="s">
        <v>493</v>
      </c>
      <c r="E424">
        <v>6</v>
      </c>
      <c r="F424" t="s">
        <v>36</v>
      </c>
      <c r="G424" s="1">
        <v>1</v>
      </c>
      <c r="H424" s="1">
        <v>1</v>
      </c>
      <c r="I424" s="1">
        <v>1</v>
      </c>
      <c r="J424" t="s">
        <v>18</v>
      </c>
      <c r="K424" s="1">
        <v>1</v>
      </c>
      <c r="L424" s="1">
        <v>1</v>
      </c>
      <c r="M424" s="1">
        <v>1</v>
      </c>
    </row>
    <row r="425" spans="1:13" x14ac:dyDescent="0.3">
      <c r="A425" t="s">
        <v>503</v>
      </c>
      <c r="B425" t="s">
        <v>225</v>
      </c>
      <c r="C425" t="s">
        <v>42</v>
      </c>
      <c r="D425" t="s">
        <v>493</v>
      </c>
      <c r="E425">
        <v>6</v>
      </c>
      <c r="F425" t="s">
        <v>38</v>
      </c>
      <c r="G425" s="1">
        <v>1</v>
      </c>
      <c r="H425" s="1">
        <v>1</v>
      </c>
      <c r="I425" s="1">
        <v>1</v>
      </c>
      <c r="J425" t="s">
        <v>18</v>
      </c>
      <c r="K425" s="1">
        <v>1</v>
      </c>
      <c r="L425" s="1">
        <v>1</v>
      </c>
      <c r="M425" s="1">
        <v>1</v>
      </c>
    </row>
    <row r="426" spans="1:13" x14ac:dyDescent="0.3">
      <c r="A426" t="s">
        <v>504</v>
      </c>
      <c r="B426" t="s">
        <v>225</v>
      </c>
      <c r="C426" t="s">
        <v>42</v>
      </c>
      <c r="D426" t="s">
        <v>493</v>
      </c>
      <c r="E426">
        <v>6</v>
      </c>
      <c r="F426" t="s">
        <v>40</v>
      </c>
      <c r="G426" s="1">
        <v>1</v>
      </c>
      <c r="H426" s="1">
        <v>1</v>
      </c>
      <c r="I426" s="1">
        <v>1</v>
      </c>
      <c r="J426" t="s">
        <v>18</v>
      </c>
      <c r="K426" s="1">
        <v>1</v>
      </c>
      <c r="L426" s="1">
        <v>1</v>
      </c>
      <c r="M426" s="1">
        <v>1</v>
      </c>
    </row>
    <row r="427" spans="1:13" x14ac:dyDescent="0.3">
      <c r="A427" t="s">
        <v>505</v>
      </c>
      <c r="B427" t="s">
        <v>225</v>
      </c>
      <c r="C427" t="s">
        <v>42</v>
      </c>
      <c r="D427" t="s">
        <v>493</v>
      </c>
      <c r="E427">
        <v>6</v>
      </c>
      <c r="F427" t="s">
        <v>64</v>
      </c>
      <c r="G427" s="1">
        <v>1</v>
      </c>
      <c r="H427" s="1">
        <v>1</v>
      </c>
      <c r="I427" s="1">
        <v>1</v>
      </c>
      <c r="J427" t="s">
        <v>18</v>
      </c>
      <c r="K427" s="1">
        <v>1</v>
      </c>
      <c r="L427" s="1">
        <v>1</v>
      </c>
      <c r="M427" s="1">
        <v>1</v>
      </c>
    </row>
    <row r="428" spans="1:13" x14ac:dyDescent="0.3">
      <c r="A428" t="s">
        <v>506</v>
      </c>
      <c r="B428" t="s">
        <v>225</v>
      </c>
      <c r="C428" t="s">
        <v>42</v>
      </c>
      <c r="D428" t="s">
        <v>493</v>
      </c>
      <c r="E428">
        <v>6</v>
      </c>
      <c r="F428" t="s">
        <v>66</v>
      </c>
      <c r="G428" s="1">
        <v>1</v>
      </c>
      <c r="H428" s="1">
        <v>1</v>
      </c>
      <c r="I428" s="1">
        <v>1</v>
      </c>
      <c r="J428" t="s">
        <v>18</v>
      </c>
      <c r="K428" s="1">
        <v>1</v>
      </c>
      <c r="L428" s="1">
        <v>1</v>
      </c>
      <c r="M428" s="1">
        <v>1</v>
      </c>
    </row>
    <row r="429" spans="1:13" x14ac:dyDescent="0.3">
      <c r="A429" t="s">
        <v>507</v>
      </c>
      <c r="B429" t="s">
        <v>225</v>
      </c>
      <c r="C429" t="s">
        <v>42</v>
      </c>
      <c r="D429" t="s">
        <v>493</v>
      </c>
      <c r="E429">
        <v>6</v>
      </c>
      <c r="F429" t="s">
        <v>68</v>
      </c>
      <c r="G429" s="1">
        <v>1</v>
      </c>
      <c r="H429" s="1">
        <v>1</v>
      </c>
      <c r="I429" s="1">
        <v>1</v>
      </c>
      <c r="J429" t="s">
        <v>18</v>
      </c>
      <c r="K429" s="1">
        <v>1</v>
      </c>
      <c r="L429" s="1">
        <v>1</v>
      </c>
      <c r="M429" s="1">
        <v>1</v>
      </c>
    </row>
    <row r="430" spans="1:13" x14ac:dyDescent="0.3">
      <c r="A430" t="s">
        <v>508</v>
      </c>
      <c r="B430" t="s">
        <v>225</v>
      </c>
      <c r="C430" t="s">
        <v>42</v>
      </c>
      <c r="D430" t="s">
        <v>493</v>
      </c>
      <c r="E430">
        <v>6</v>
      </c>
      <c r="F430" t="s">
        <v>70</v>
      </c>
      <c r="G430" s="1">
        <v>1</v>
      </c>
      <c r="H430" s="1">
        <v>1</v>
      </c>
      <c r="I430" s="1">
        <v>1</v>
      </c>
      <c r="J430" t="s">
        <v>18</v>
      </c>
      <c r="K430" s="1">
        <v>1</v>
      </c>
      <c r="L430" s="1">
        <v>1</v>
      </c>
      <c r="M430" s="1">
        <v>1</v>
      </c>
    </row>
    <row r="431" spans="1:13" x14ac:dyDescent="0.3">
      <c r="A431" t="s">
        <v>509</v>
      </c>
      <c r="B431" t="s">
        <v>225</v>
      </c>
      <c r="C431" t="s">
        <v>42</v>
      </c>
      <c r="D431" t="s">
        <v>493</v>
      </c>
      <c r="E431">
        <v>6</v>
      </c>
      <c r="F431" t="s">
        <v>72</v>
      </c>
      <c r="G431" s="1">
        <v>1</v>
      </c>
      <c r="H431" s="1">
        <v>1</v>
      </c>
      <c r="I431" s="1">
        <v>1</v>
      </c>
      <c r="J431" t="s">
        <v>18</v>
      </c>
      <c r="K431" s="1">
        <v>1</v>
      </c>
      <c r="L431" s="1">
        <v>1</v>
      </c>
      <c r="M431" s="1">
        <v>1</v>
      </c>
    </row>
    <row r="432" spans="1:13" x14ac:dyDescent="0.3">
      <c r="A432" t="s">
        <v>510</v>
      </c>
      <c r="B432" t="s">
        <v>225</v>
      </c>
      <c r="C432" t="s">
        <v>42</v>
      </c>
      <c r="D432" t="s">
        <v>493</v>
      </c>
      <c r="E432">
        <v>6</v>
      </c>
      <c r="F432" t="s">
        <v>74</v>
      </c>
      <c r="G432" s="1">
        <v>1</v>
      </c>
      <c r="H432" s="1">
        <v>1</v>
      </c>
      <c r="I432" s="1">
        <v>1</v>
      </c>
      <c r="J432" t="s">
        <v>18</v>
      </c>
      <c r="K432" s="1">
        <v>1</v>
      </c>
      <c r="L432" s="1">
        <v>1</v>
      </c>
      <c r="M432" s="1">
        <v>1</v>
      </c>
    </row>
    <row r="433" spans="1:13" x14ac:dyDescent="0.3">
      <c r="A433" t="s">
        <v>511</v>
      </c>
      <c r="B433" t="s">
        <v>225</v>
      </c>
      <c r="C433" t="s">
        <v>42</v>
      </c>
      <c r="D433" t="s">
        <v>493</v>
      </c>
      <c r="E433">
        <v>6</v>
      </c>
      <c r="F433" t="s">
        <v>76</v>
      </c>
      <c r="G433" s="1">
        <v>1</v>
      </c>
      <c r="H433" s="1">
        <v>1</v>
      </c>
      <c r="I433" s="1">
        <v>1</v>
      </c>
      <c r="J433" t="s">
        <v>18</v>
      </c>
      <c r="K433" s="1">
        <v>1</v>
      </c>
      <c r="L433" s="1">
        <v>1</v>
      </c>
      <c r="M433" s="1">
        <v>1</v>
      </c>
    </row>
    <row r="434" spans="1:13" x14ac:dyDescent="0.3">
      <c r="A434" t="s">
        <v>512</v>
      </c>
      <c r="B434" t="s">
        <v>225</v>
      </c>
      <c r="C434" t="s">
        <v>42</v>
      </c>
      <c r="D434" t="s">
        <v>493</v>
      </c>
      <c r="E434">
        <v>6</v>
      </c>
      <c r="F434" t="s">
        <v>78</v>
      </c>
      <c r="G434" s="1">
        <v>1</v>
      </c>
      <c r="H434" s="1">
        <v>1</v>
      </c>
      <c r="I434" s="1">
        <v>1</v>
      </c>
      <c r="J434" t="s">
        <v>18</v>
      </c>
      <c r="K434" s="1">
        <v>1</v>
      </c>
      <c r="L434" s="1">
        <v>1</v>
      </c>
      <c r="M434" s="1">
        <v>1</v>
      </c>
    </row>
    <row r="435" spans="1:13" x14ac:dyDescent="0.3">
      <c r="A435" t="s">
        <v>513</v>
      </c>
      <c r="B435" t="s">
        <v>225</v>
      </c>
      <c r="C435" t="s">
        <v>42</v>
      </c>
      <c r="D435" t="s">
        <v>493</v>
      </c>
      <c r="E435">
        <v>6</v>
      </c>
      <c r="F435" t="s">
        <v>80</v>
      </c>
      <c r="G435" s="1">
        <v>1</v>
      </c>
      <c r="H435" s="1">
        <v>1</v>
      </c>
      <c r="I435" s="1">
        <v>1</v>
      </c>
      <c r="J435" t="s">
        <v>18</v>
      </c>
      <c r="K435" s="1">
        <v>1</v>
      </c>
      <c r="L435" s="1">
        <v>1</v>
      </c>
      <c r="M435" s="1">
        <v>1</v>
      </c>
    </row>
    <row r="436" spans="1:13" x14ac:dyDescent="0.3">
      <c r="A436" t="s">
        <v>514</v>
      </c>
      <c r="B436" t="s">
        <v>225</v>
      </c>
      <c r="C436" t="s">
        <v>42</v>
      </c>
      <c r="D436" t="s">
        <v>493</v>
      </c>
      <c r="E436">
        <v>6</v>
      </c>
      <c r="F436" t="s">
        <v>82</v>
      </c>
      <c r="G436" s="1">
        <v>1</v>
      </c>
      <c r="H436" s="1">
        <v>1</v>
      </c>
      <c r="I436" s="1">
        <v>1</v>
      </c>
      <c r="J436" t="s">
        <v>18</v>
      </c>
      <c r="K436" s="1">
        <v>1</v>
      </c>
      <c r="L436" s="1">
        <v>1</v>
      </c>
      <c r="M436" s="1">
        <v>1</v>
      </c>
    </row>
    <row r="437" spans="1:13" x14ac:dyDescent="0.3">
      <c r="A437" t="s">
        <v>515</v>
      </c>
      <c r="B437" t="s">
        <v>225</v>
      </c>
      <c r="C437" t="s">
        <v>42</v>
      </c>
      <c r="D437" t="s">
        <v>493</v>
      </c>
      <c r="E437">
        <v>6</v>
      </c>
      <c r="F437" t="s">
        <v>84</v>
      </c>
      <c r="J437" t="s">
        <v>18</v>
      </c>
    </row>
    <row r="438" spans="1:13" x14ac:dyDescent="0.3">
      <c r="A438" t="s">
        <v>516</v>
      </c>
      <c r="B438" t="s">
        <v>225</v>
      </c>
      <c r="C438" t="s">
        <v>42</v>
      </c>
      <c r="D438" t="s">
        <v>493</v>
      </c>
      <c r="E438">
        <v>6</v>
      </c>
      <c r="F438" t="s">
        <v>181</v>
      </c>
      <c r="J438" t="s">
        <v>18</v>
      </c>
    </row>
    <row r="439" spans="1:13" x14ac:dyDescent="0.3">
      <c r="A439" t="s">
        <v>517</v>
      </c>
      <c r="B439" t="s">
        <v>225</v>
      </c>
      <c r="C439" t="s">
        <v>42</v>
      </c>
      <c r="D439" t="s">
        <v>518</v>
      </c>
      <c r="E439">
        <v>6</v>
      </c>
      <c r="F439" t="s">
        <v>17</v>
      </c>
      <c r="J439" t="s">
        <v>18</v>
      </c>
    </row>
    <row r="440" spans="1:13" x14ac:dyDescent="0.3">
      <c r="A440" t="s">
        <v>519</v>
      </c>
      <c r="B440" t="s">
        <v>225</v>
      </c>
      <c r="C440" t="s">
        <v>42</v>
      </c>
      <c r="D440" t="s">
        <v>518</v>
      </c>
      <c r="E440">
        <v>6</v>
      </c>
      <c r="F440" t="s">
        <v>20</v>
      </c>
      <c r="J440" t="s">
        <v>18</v>
      </c>
    </row>
    <row r="441" spans="1:13" x14ac:dyDescent="0.3">
      <c r="A441" t="s">
        <v>520</v>
      </c>
      <c r="B441" t="s">
        <v>225</v>
      </c>
      <c r="C441" t="s">
        <v>42</v>
      </c>
      <c r="D441" t="s">
        <v>518</v>
      </c>
      <c r="E441">
        <v>6</v>
      </c>
      <c r="F441" t="s">
        <v>22</v>
      </c>
      <c r="J441" t="s">
        <v>18</v>
      </c>
    </row>
    <row r="442" spans="1:13" x14ac:dyDescent="0.3">
      <c r="A442" t="s">
        <v>521</v>
      </c>
      <c r="B442" t="s">
        <v>225</v>
      </c>
      <c r="C442" t="s">
        <v>42</v>
      </c>
      <c r="D442" t="s">
        <v>518</v>
      </c>
      <c r="E442">
        <v>6</v>
      </c>
      <c r="F442" t="s">
        <v>24</v>
      </c>
      <c r="J442" t="s">
        <v>18</v>
      </c>
    </row>
    <row r="443" spans="1:13" x14ac:dyDescent="0.3">
      <c r="A443" t="s">
        <v>522</v>
      </c>
      <c r="B443" t="s">
        <v>225</v>
      </c>
      <c r="C443" t="s">
        <v>42</v>
      </c>
      <c r="D443" t="s">
        <v>518</v>
      </c>
      <c r="E443">
        <v>6</v>
      </c>
      <c r="F443" t="s">
        <v>26</v>
      </c>
      <c r="J443" t="s">
        <v>18</v>
      </c>
    </row>
    <row r="444" spans="1:13" x14ac:dyDescent="0.3">
      <c r="A444" t="s">
        <v>523</v>
      </c>
      <c r="B444" t="s">
        <v>225</v>
      </c>
      <c r="C444" t="s">
        <v>42</v>
      </c>
      <c r="D444" t="s">
        <v>518</v>
      </c>
      <c r="E444">
        <v>6</v>
      </c>
      <c r="F444" t="s">
        <v>28</v>
      </c>
      <c r="J444" t="s">
        <v>18</v>
      </c>
    </row>
    <row r="445" spans="1:13" x14ac:dyDescent="0.3">
      <c r="A445" t="s">
        <v>524</v>
      </c>
      <c r="B445" t="s">
        <v>225</v>
      </c>
      <c r="C445" t="s">
        <v>42</v>
      </c>
      <c r="D445" t="s">
        <v>518</v>
      </c>
      <c r="E445">
        <v>6</v>
      </c>
      <c r="F445" t="s">
        <v>30</v>
      </c>
      <c r="J445" t="s">
        <v>18</v>
      </c>
    </row>
    <row r="446" spans="1:13" x14ac:dyDescent="0.3">
      <c r="A446" t="s">
        <v>525</v>
      </c>
      <c r="B446" t="s">
        <v>225</v>
      </c>
      <c r="C446" t="s">
        <v>42</v>
      </c>
      <c r="D446" t="s">
        <v>518</v>
      </c>
      <c r="E446">
        <v>6</v>
      </c>
      <c r="F446" t="s">
        <v>32</v>
      </c>
      <c r="J446" t="s">
        <v>18</v>
      </c>
    </row>
    <row r="447" spans="1:13" x14ac:dyDescent="0.3">
      <c r="A447" t="s">
        <v>526</v>
      </c>
      <c r="B447" t="s">
        <v>225</v>
      </c>
      <c r="C447" t="s">
        <v>42</v>
      </c>
      <c r="D447" t="s">
        <v>518</v>
      </c>
      <c r="E447">
        <v>6</v>
      </c>
      <c r="F447" t="s">
        <v>34</v>
      </c>
      <c r="J447" t="s">
        <v>18</v>
      </c>
    </row>
    <row r="448" spans="1:13" x14ac:dyDescent="0.3">
      <c r="A448" t="s">
        <v>527</v>
      </c>
      <c r="B448" t="s">
        <v>225</v>
      </c>
      <c r="C448" t="s">
        <v>42</v>
      </c>
      <c r="D448" t="s">
        <v>518</v>
      </c>
      <c r="E448">
        <v>6</v>
      </c>
      <c r="F448" t="s">
        <v>36</v>
      </c>
      <c r="J448" t="s">
        <v>18</v>
      </c>
    </row>
    <row r="449" spans="1:10" x14ac:dyDescent="0.3">
      <c r="A449" t="s">
        <v>528</v>
      </c>
      <c r="B449" t="s">
        <v>225</v>
      </c>
      <c r="C449" t="s">
        <v>42</v>
      </c>
      <c r="D449" t="s">
        <v>518</v>
      </c>
      <c r="E449">
        <v>6</v>
      </c>
      <c r="F449" t="s">
        <v>38</v>
      </c>
      <c r="J449" t="s">
        <v>18</v>
      </c>
    </row>
    <row r="450" spans="1:10" x14ac:dyDescent="0.3">
      <c r="A450" t="s">
        <v>529</v>
      </c>
      <c r="B450" t="s">
        <v>225</v>
      </c>
      <c r="C450" t="s">
        <v>42</v>
      </c>
      <c r="D450" t="s">
        <v>518</v>
      </c>
      <c r="E450">
        <v>6</v>
      </c>
      <c r="F450" t="s">
        <v>40</v>
      </c>
      <c r="J450" t="s">
        <v>18</v>
      </c>
    </row>
    <row r="451" spans="1:10" x14ac:dyDescent="0.3">
      <c r="A451" t="s">
        <v>530</v>
      </c>
      <c r="B451" t="s">
        <v>225</v>
      </c>
      <c r="C451" t="s">
        <v>42</v>
      </c>
      <c r="D451" t="s">
        <v>518</v>
      </c>
      <c r="E451">
        <v>6</v>
      </c>
      <c r="F451" t="s">
        <v>64</v>
      </c>
      <c r="J451" t="s">
        <v>18</v>
      </c>
    </row>
    <row r="452" spans="1:10" x14ac:dyDescent="0.3">
      <c r="A452" t="s">
        <v>531</v>
      </c>
      <c r="B452" t="s">
        <v>225</v>
      </c>
      <c r="C452" t="s">
        <v>42</v>
      </c>
      <c r="D452" t="s">
        <v>518</v>
      </c>
      <c r="E452">
        <v>6</v>
      </c>
      <c r="F452" t="s">
        <v>66</v>
      </c>
      <c r="J452" t="s">
        <v>18</v>
      </c>
    </row>
    <row r="453" spans="1:10" x14ac:dyDescent="0.3">
      <c r="A453" t="s">
        <v>532</v>
      </c>
      <c r="B453" t="s">
        <v>225</v>
      </c>
      <c r="C453" t="s">
        <v>42</v>
      </c>
      <c r="D453" t="s">
        <v>518</v>
      </c>
      <c r="E453">
        <v>6</v>
      </c>
      <c r="F453" t="s">
        <v>68</v>
      </c>
      <c r="J453" t="s">
        <v>18</v>
      </c>
    </row>
    <row r="454" spans="1:10" x14ac:dyDescent="0.3">
      <c r="A454" t="s">
        <v>533</v>
      </c>
      <c r="B454" t="s">
        <v>225</v>
      </c>
      <c r="C454" t="s">
        <v>42</v>
      </c>
      <c r="D454" t="s">
        <v>518</v>
      </c>
      <c r="E454">
        <v>6</v>
      </c>
      <c r="F454" t="s">
        <v>70</v>
      </c>
      <c r="J454" t="s">
        <v>18</v>
      </c>
    </row>
    <row r="455" spans="1:10" x14ac:dyDescent="0.3">
      <c r="A455" t="s">
        <v>534</v>
      </c>
      <c r="B455" t="s">
        <v>225</v>
      </c>
      <c r="C455" t="s">
        <v>42</v>
      </c>
      <c r="D455" t="s">
        <v>535</v>
      </c>
      <c r="E455">
        <v>6</v>
      </c>
      <c r="F455" t="s">
        <v>17</v>
      </c>
      <c r="J455" t="s">
        <v>18</v>
      </c>
    </row>
    <row r="456" spans="1:10" x14ac:dyDescent="0.3">
      <c r="A456" t="s">
        <v>536</v>
      </c>
      <c r="B456" t="s">
        <v>225</v>
      </c>
      <c r="C456" t="s">
        <v>42</v>
      </c>
      <c r="D456" t="s">
        <v>535</v>
      </c>
      <c r="E456">
        <v>6</v>
      </c>
      <c r="F456" t="s">
        <v>20</v>
      </c>
      <c r="J456" t="s">
        <v>18</v>
      </c>
    </row>
    <row r="457" spans="1:10" x14ac:dyDescent="0.3">
      <c r="A457" t="s">
        <v>537</v>
      </c>
      <c r="B457" t="s">
        <v>225</v>
      </c>
      <c r="C457" t="s">
        <v>42</v>
      </c>
      <c r="D457" t="s">
        <v>535</v>
      </c>
      <c r="E457">
        <v>6</v>
      </c>
      <c r="F457" t="s">
        <v>22</v>
      </c>
      <c r="J457" t="s">
        <v>18</v>
      </c>
    </row>
    <row r="458" spans="1:10" x14ac:dyDescent="0.3">
      <c r="A458" t="s">
        <v>538</v>
      </c>
      <c r="B458" t="s">
        <v>225</v>
      </c>
      <c r="C458" t="s">
        <v>42</v>
      </c>
      <c r="D458" t="s">
        <v>535</v>
      </c>
      <c r="E458">
        <v>6</v>
      </c>
      <c r="F458" t="s">
        <v>24</v>
      </c>
      <c r="J458" t="s">
        <v>18</v>
      </c>
    </row>
    <row r="459" spans="1:10" x14ac:dyDescent="0.3">
      <c r="A459" t="s">
        <v>539</v>
      </c>
      <c r="B459" t="s">
        <v>225</v>
      </c>
      <c r="C459" t="s">
        <v>42</v>
      </c>
      <c r="D459" t="s">
        <v>535</v>
      </c>
      <c r="E459">
        <v>6</v>
      </c>
      <c r="F459" t="s">
        <v>26</v>
      </c>
      <c r="J459" t="s">
        <v>18</v>
      </c>
    </row>
    <row r="460" spans="1:10" x14ac:dyDescent="0.3">
      <c r="A460" t="s">
        <v>540</v>
      </c>
      <c r="B460" t="s">
        <v>225</v>
      </c>
      <c r="C460" t="s">
        <v>42</v>
      </c>
      <c r="D460" t="s">
        <v>535</v>
      </c>
      <c r="E460">
        <v>6</v>
      </c>
      <c r="F460" t="s">
        <v>28</v>
      </c>
      <c r="J460" t="s">
        <v>18</v>
      </c>
    </row>
    <row r="461" spans="1:10" x14ac:dyDescent="0.3">
      <c r="A461" t="s">
        <v>541</v>
      </c>
      <c r="B461" t="s">
        <v>225</v>
      </c>
      <c r="C461" t="s">
        <v>42</v>
      </c>
      <c r="D461" t="s">
        <v>535</v>
      </c>
      <c r="E461">
        <v>6</v>
      </c>
      <c r="F461" t="s">
        <v>30</v>
      </c>
      <c r="J461" t="s">
        <v>18</v>
      </c>
    </row>
    <row r="462" spans="1:10" x14ac:dyDescent="0.3">
      <c r="A462" t="s">
        <v>542</v>
      </c>
      <c r="B462" t="s">
        <v>225</v>
      </c>
      <c r="C462" t="s">
        <v>42</v>
      </c>
      <c r="D462" t="s">
        <v>535</v>
      </c>
      <c r="E462">
        <v>6</v>
      </c>
      <c r="F462" t="s">
        <v>32</v>
      </c>
      <c r="J462" t="s">
        <v>18</v>
      </c>
    </row>
    <row r="463" spans="1:10" x14ac:dyDescent="0.3">
      <c r="A463" t="s">
        <v>543</v>
      </c>
      <c r="B463" t="s">
        <v>225</v>
      </c>
      <c r="C463" t="s">
        <v>42</v>
      </c>
      <c r="D463" t="s">
        <v>535</v>
      </c>
      <c r="E463">
        <v>6</v>
      </c>
      <c r="F463" t="s">
        <v>34</v>
      </c>
      <c r="J463" t="s">
        <v>18</v>
      </c>
    </row>
    <row r="464" spans="1:10" x14ac:dyDescent="0.3">
      <c r="A464" t="s">
        <v>544</v>
      </c>
      <c r="B464" t="s">
        <v>225</v>
      </c>
      <c r="C464" t="s">
        <v>42</v>
      </c>
      <c r="D464" t="s">
        <v>535</v>
      </c>
      <c r="E464">
        <v>6</v>
      </c>
      <c r="F464" t="s">
        <v>36</v>
      </c>
      <c r="J464" t="s">
        <v>18</v>
      </c>
    </row>
    <row r="465" spans="1:10" x14ac:dyDescent="0.3">
      <c r="A465" t="s">
        <v>545</v>
      </c>
      <c r="B465" t="s">
        <v>225</v>
      </c>
      <c r="C465" t="s">
        <v>42</v>
      </c>
      <c r="D465" t="s">
        <v>535</v>
      </c>
      <c r="E465">
        <v>6</v>
      </c>
      <c r="F465" t="s">
        <v>38</v>
      </c>
      <c r="J465" t="s">
        <v>18</v>
      </c>
    </row>
    <row r="466" spans="1:10" x14ac:dyDescent="0.3">
      <c r="A466" t="s">
        <v>546</v>
      </c>
      <c r="B466" t="s">
        <v>225</v>
      </c>
      <c r="C466" t="s">
        <v>42</v>
      </c>
      <c r="D466" t="s">
        <v>535</v>
      </c>
      <c r="E466">
        <v>6</v>
      </c>
      <c r="F466" t="s">
        <v>40</v>
      </c>
      <c r="J466" t="s">
        <v>18</v>
      </c>
    </row>
    <row r="467" spans="1:10" x14ac:dyDescent="0.3">
      <c r="A467" t="s">
        <v>547</v>
      </c>
      <c r="B467" t="s">
        <v>225</v>
      </c>
      <c r="C467" t="s">
        <v>42</v>
      </c>
      <c r="D467" t="s">
        <v>535</v>
      </c>
      <c r="E467">
        <v>6</v>
      </c>
      <c r="F467" t="s">
        <v>64</v>
      </c>
      <c r="J467" t="s">
        <v>18</v>
      </c>
    </row>
    <row r="468" spans="1:10" x14ac:dyDescent="0.3">
      <c r="A468" t="s">
        <v>548</v>
      </c>
      <c r="B468" t="s">
        <v>225</v>
      </c>
      <c r="C468" t="s">
        <v>42</v>
      </c>
      <c r="D468" t="s">
        <v>535</v>
      </c>
      <c r="E468">
        <v>6</v>
      </c>
      <c r="F468" t="s">
        <v>66</v>
      </c>
      <c r="J468" t="s">
        <v>18</v>
      </c>
    </row>
    <row r="469" spans="1:10" x14ac:dyDescent="0.3">
      <c r="A469" t="s">
        <v>549</v>
      </c>
      <c r="B469" t="s">
        <v>225</v>
      </c>
      <c r="C469" t="s">
        <v>42</v>
      </c>
      <c r="D469" t="s">
        <v>535</v>
      </c>
      <c r="E469">
        <v>6</v>
      </c>
      <c r="F469" t="s">
        <v>68</v>
      </c>
      <c r="J469" t="s">
        <v>18</v>
      </c>
    </row>
    <row r="470" spans="1:10" x14ac:dyDescent="0.3">
      <c r="A470" t="s">
        <v>550</v>
      </c>
      <c r="B470" t="s">
        <v>225</v>
      </c>
      <c r="C470" t="s">
        <v>42</v>
      </c>
      <c r="D470" t="s">
        <v>535</v>
      </c>
      <c r="E470">
        <v>6</v>
      </c>
      <c r="F470" t="s">
        <v>70</v>
      </c>
      <c r="J470" t="s">
        <v>18</v>
      </c>
    </row>
    <row r="471" spans="1:10" x14ac:dyDescent="0.3">
      <c r="A471" t="s">
        <v>551</v>
      </c>
      <c r="B471" t="s">
        <v>225</v>
      </c>
      <c r="C471" t="s">
        <v>42</v>
      </c>
      <c r="D471" t="s">
        <v>535</v>
      </c>
      <c r="E471">
        <v>6</v>
      </c>
      <c r="F471" t="s">
        <v>72</v>
      </c>
      <c r="J471" t="s">
        <v>18</v>
      </c>
    </row>
    <row r="472" spans="1:10" x14ac:dyDescent="0.3">
      <c r="A472" t="s">
        <v>552</v>
      </c>
      <c r="B472" t="s">
        <v>225</v>
      </c>
      <c r="C472" t="s">
        <v>42</v>
      </c>
      <c r="D472" t="s">
        <v>535</v>
      </c>
      <c r="E472">
        <v>6</v>
      </c>
      <c r="F472" t="s">
        <v>74</v>
      </c>
      <c r="J472" t="s">
        <v>18</v>
      </c>
    </row>
    <row r="473" spans="1:10" x14ac:dyDescent="0.3">
      <c r="A473" t="s">
        <v>553</v>
      </c>
      <c r="B473" t="s">
        <v>225</v>
      </c>
      <c r="C473" t="s">
        <v>42</v>
      </c>
      <c r="D473" t="s">
        <v>535</v>
      </c>
      <c r="E473">
        <v>6</v>
      </c>
      <c r="F473" t="s">
        <v>76</v>
      </c>
      <c r="J473" t="s">
        <v>18</v>
      </c>
    </row>
    <row r="474" spans="1:10" x14ac:dyDescent="0.3">
      <c r="A474" t="s">
        <v>554</v>
      </c>
      <c r="B474" t="s">
        <v>225</v>
      </c>
      <c r="C474" t="s">
        <v>42</v>
      </c>
      <c r="D474" t="s">
        <v>535</v>
      </c>
      <c r="E474">
        <v>6</v>
      </c>
      <c r="F474" t="s">
        <v>78</v>
      </c>
      <c r="J474" t="s">
        <v>18</v>
      </c>
    </row>
    <row r="475" spans="1:10" x14ac:dyDescent="0.3">
      <c r="A475" t="s">
        <v>555</v>
      </c>
      <c r="B475" t="s">
        <v>225</v>
      </c>
      <c r="C475" t="s">
        <v>42</v>
      </c>
      <c r="D475" t="s">
        <v>535</v>
      </c>
      <c r="E475">
        <v>6</v>
      </c>
      <c r="F475" t="s">
        <v>80</v>
      </c>
      <c r="J475" t="s">
        <v>18</v>
      </c>
    </row>
    <row r="476" spans="1:10" x14ac:dyDescent="0.3">
      <c r="A476" t="s">
        <v>556</v>
      </c>
      <c r="B476" t="s">
        <v>225</v>
      </c>
      <c r="C476" t="s">
        <v>42</v>
      </c>
      <c r="D476" t="s">
        <v>535</v>
      </c>
      <c r="E476">
        <v>6</v>
      </c>
      <c r="F476" t="s">
        <v>82</v>
      </c>
      <c r="J476" t="s">
        <v>18</v>
      </c>
    </row>
    <row r="477" spans="1:10" x14ac:dyDescent="0.3">
      <c r="A477" t="s">
        <v>557</v>
      </c>
      <c r="B477" t="s">
        <v>225</v>
      </c>
      <c r="C477" t="s">
        <v>42</v>
      </c>
      <c r="D477" t="s">
        <v>535</v>
      </c>
      <c r="E477">
        <v>6</v>
      </c>
      <c r="F477" t="s">
        <v>84</v>
      </c>
      <c r="J477" t="s">
        <v>18</v>
      </c>
    </row>
    <row r="478" spans="1:10" x14ac:dyDescent="0.3">
      <c r="A478" t="s">
        <v>558</v>
      </c>
      <c r="B478" t="s">
        <v>225</v>
      </c>
      <c r="C478" t="s">
        <v>42</v>
      </c>
      <c r="D478" t="s">
        <v>535</v>
      </c>
      <c r="E478">
        <v>6</v>
      </c>
      <c r="F478" t="s">
        <v>181</v>
      </c>
      <c r="J478" t="s">
        <v>18</v>
      </c>
    </row>
    <row r="479" spans="1:10" x14ac:dyDescent="0.3">
      <c r="A479" t="s">
        <v>559</v>
      </c>
      <c r="B479" t="s">
        <v>225</v>
      </c>
      <c r="C479" t="s">
        <v>42</v>
      </c>
      <c r="D479" t="s">
        <v>535</v>
      </c>
      <c r="E479">
        <v>6</v>
      </c>
      <c r="F479" t="s">
        <v>183</v>
      </c>
      <c r="J479" t="s">
        <v>18</v>
      </c>
    </row>
    <row r="480" spans="1:10" x14ac:dyDescent="0.3">
      <c r="A480" t="s">
        <v>560</v>
      </c>
      <c r="B480" t="s">
        <v>225</v>
      </c>
      <c r="C480" t="s">
        <v>42</v>
      </c>
      <c r="D480" t="s">
        <v>535</v>
      </c>
      <c r="E480">
        <v>6</v>
      </c>
      <c r="F480" t="s">
        <v>185</v>
      </c>
      <c r="J480" t="s">
        <v>18</v>
      </c>
    </row>
    <row r="481" spans="1:13" x14ac:dyDescent="0.3">
      <c r="A481" t="s">
        <v>561</v>
      </c>
      <c r="B481" t="s">
        <v>225</v>
      </c>
      <c r="C481" t="s">
        <v>42</v>
      </c>
      <c r="D481" t="s">
        <v>535</v>
      </c>
      <c r="E481">
        <v>6</v>
      </c>
      <c r="F481" t="s">
        <v>187</v>
      </c>
      <c r="J481" t="s">
        <v>18</v>
      </c>
    </row>
    <row r="482" spans="1:13" x14ac:dyDescent="0.3">
      <c r="A482" t="s">
        <v>562</v>
      </c>
      <c r="B482" t="s">
        <v>225</v>
      </c>
      <c r="C482" t="s">
        <v>42</v>
      </c>
      <c r="D482" t="s">
        <v>156</v>
      </c>
      <c r="E482">
        <v>6</v>
      </c>
      <c r="F482" t="s">
        <v>17</v>
      </c>
      <c r="G482" s="1">
        <v>0</v>
      </c>
      <c r="H482" s="1">
        <v>0</v>
      </c>
      <c r="I482" s="1">
        <v>0</v>
      </c>
      <c r="J482" t="s">
        <v>157</v>
      </c>
      <c r="K482" s="1">
        <v>1</v>
      </c>
      <c r="L482" s="1">
        <v>1</v>
      </c>
      <c r="M482" s="1">
        <v>1</v>
      </c>
    </row>
    <row r="483" spans="1:13" x14ac:dyDescent="0.3">
      <c r="A483" t="s">
        <v>563</v>
      </c>
      <c r="B483" t="s">
        <v>225</v>
      </c>
      <c r="C483" t="s">
        <v>42</v>
      </c>
      <c r="D483" t="s">
        <v>156</v>
      </c>
      <c r="E483">
        <v>6</v>
      </c>
      <c r="F483" t="s">
        <v>20</v>
      </c>
      <c r="G483" s="1">
        <v>0</v>
      </c>
      <c r="H483" s="1">
        <v>0</v>
      </c>
      <c r="I483" s="1">
        <v>0</v>
      </c>
      <c r="J483" t="s">
        <v>157</v>
      </c>
      <c r="K483" s="1">
        <v>1</v>
      </c>
      <c r="L483" s="1">
        <v>1</v>
      </c>
      <c r="M483" s="1">
        <v>1</v>
      </c>
    </row>
    <row r="484" spans="1:13" x14ac:dyDescent="0.3">
      <c r="A484" t="s">
        <v>564</v>
      </c>
      <c r="B484" t="s">
        <v>225</v>
      </c>
      <c r="C484" t="s">
        <v>42</v>
      </c>
      <c r="D484" t="s">
        <v>156</v>
      </c>
      <c r="E484">
        <v>6</v>
      </c>
      <c r="F484" t="s">
        <v>22</v>
      </c>
      <c r="G484" s="1">
        <v>0</v>
      </c>
      <c r="H484" s="1">
        <v>0</v>
      </c>
      <c r="I484" s="1">
        <v>0</v>
      </c>
      <c r="J484" t="s">
        <v>157</v>
      </c>
      <c r="K484" s="1">
        <v>1</v>
      </c>
      <c r="L484" s="1">
        <v>1</v>
      </c>
      <c r="M484" s="1">
        <v>1</v>
      </c>
    </row>
    <row r="485" spans="1:13" x14ac:dyDescent="0.3">
      <c r="A485" t="s">
        <v>565</v>
      </c>
      <c r="B485" t="s">
        <v>225</v>
      </c>
      <c r="C485" t="s">
        <v>42</v>
      </c>
      <c r="D485" t="s">
        <v>156</v>
      </c>
      <c r="E485">
        <v>6</v>
      </c>
      <c r="F485" t="s">
        <v>24</v>
      </c>
      <c r="G485" s="1">
        <v>0</v>
      </c>
      <c r="H485" s="1">
        <v>0</v>
      </c>
      <c r="I485" s="1">
        <v>0</v>
      </c>
      <c r="J485" t="s">
        <v>157</v>
      </c>
      <c r="K485" s="1">
        <v>1</v>
      </c>
      <c r="L485" s="1">
        <v>1</v>
      </c>
      <c r="M485" s="1">
        <v>1</v>
      </c>
    </row>
    <row r="486" spans="1:13" x14ac:dyDescent="0.3">
      <c r="A486" t="s">
        <v>566</v>
      </c>
      <c r="B486" t="s">
        <v>225</v>
      </c>
      <c r="C486" t="s">
        <v>42</v>
      </c>
      <c r="D486" t="s">
        <v>156</v>
      </c>
      <c r="E486">
        <v>6</v>
      </c>
      <c r="F486" t="s">
        <v>26</v>
      </c>
      <c r="G486" s="1">
        <v>0</v>
      </c>
      <c r="H486" s="1">
        <v>0</v>
      </c>
      <c r="I486" s="1">
        <v>0</v>
      </c>
      <c r="J486" t="s">
        <v>157</v>
      </c>
      <c r="K486" s="1">
        <v>1</v>
      </c>
      <c r="L486" s="1">
        <v>1</v>
      </c>
      <c r="M486" s="1">
        <v>1</v>
      </c>
    </row>
    <row r="487" spans="1:13" x14ac:dyDescent="0.3">
      <c r="A487" t="s">
        <v>567</v>
      </c>
      <c r="B487" t="s">
        <v>225</v>
      </c>
      <c r="C487" t="s">
        <v>42</v>
      </c>
      <c r="D487" t="s">
        <v>156</v>
      </c>
      <c r="E487">
        <v>6</v>
      </c>
      <c r="F487" t="s">
        <v>28</v>
      </c>
      <c r="G487" s="1">
        <v>0</v>
      </c>
      <c r="H487" s="1">
        <v>0</v>
      </c>
      <c r="I487" s="1">
        <v>0</v>
      </c>
      <c r="J487" t="s">
        <v>157</v>
      </c>
      <c r="K487" s="1">
        <v>1</v>
      </c>
      <c r="L487" s="1">
        <v>1</v>
      </c>
      <c r="M487" s="1">
        <v>1</v>
      </c>
    </row>
    <row r="488" spans="1:13" x14ac:dyDescent="0.3">
      <c r="A488" t="s">
        <v>568</v>
      </c>
      <c r="B488" t="s">
        <v>225</v>
      </c>
      <c r="C488" t="s">
        <v>42</v>
      </c>
      <c r="D488" t="s">
        <v>156</v>
      </c>
      <c r="E488">
        <v>6</v>
      </c>
      <c r="F488" t="s">
        <v>30</v>
      </c>
      <c r="G488" s="1">
        <v>0</v>
      </c>
      <c r="H488" s="1">
        <v>0</v>
      </c>
      <c r="I488" s="1">
        <v>0</v>
      </c>
      <c r="J488" t="s">
        <v>157</v>
      </c>
      <c r="K488" s="1">
        <v>1</v>
      </c>
      <c r="L488" s="1">
        <v>1</v>
      </c>
      <c r="M488" s="1">
        <v>1</v>
      </c>
    </row>
    <row r="489" spans="1:13" x14ac:dyDescent="0.3">
      <c r="A489" t="s">
        <v>569</v>
      </c>
      <c r="B489" t="s">
        <v>225</v>
      </c>
      <c r="C489" t="s">
        <v>42</v>
      </c>
      <c r="D489" t="s">
        <v>156</v>
      </c>
      <c r="E489">
        <v>6</v>
      </c>
      <c r="F489" t="s">
        <v>32</v>
      </c>
      <c r="G489" s="1">
        <v>0</v>
      </c>
      <c r="H489" s="1">
        <v>0</v>
      </c>
      <c r="I489" s="1">
        <v>0</v>
      </c>
      <c r="J489" t="s">
        <v>157</v>
      </c>
      <c r="K489" s="1">
        <v>1</v>
      </c>
      <c r="L489" s="1">
        <v>1</v>
      </c>
      <c r="M489" s="1">
        <v>1</v>
      </c>
    </row>
    <row r="490" spans="1:13" x14ac:dyDescent="0.3">
      <c r="A490" t="s">
        <v>570</v>
      </c>
      <c r="B490" t="s">
        <v>225</v>
      </c>
      <c r="C490" t="s">
        <v>42</v>
      </c>
      <c r="D490" t="s">
        <v>156</v>
      </c>
      <c r="E490">
        <v>6</v>
      </c>
      <c r="F490" t="s">
        <v>34</v>
      </c>
      <c r="G490" s="1">
        <v>0</v>
      </c>
      <c r="H490" s="1">
        <v>0</v>
      </c>
      <c r="I490" s="1">
        <v>0</v>
      </c>
      <c r="J490" t="s">
        <v>157</v>
      </c>
      <c r="K490" s="1">
        <v>1</v>
      </c>
      <c r="L490" s="1">
        <v>1</v>
      </c>
      <c r="M490" s="1">
        <v>1</v>
      </c>
    </row>
    <row r="491" spans="1:13" x14ac:dyDescent="0.3">
      <c r="A491" t="s">
        <v>571</v>
      </c>
      <c r="B491" t="s">
        <v>225</v>
      </c>
      <c r="C491" t="s">
        <v>42</v>
      </c>
      <c r="D491" t="s">
        <v>156</v>
      </c>
      <c r="E491">
        <v>6</v>
      </c>
      <c r="F491" t="s">
        <v>36</v>
      </c>
      <c r="G491" s="1">
        <v>0</v>
      </c>
      <c r="H491" s="1">
        <v>0</v>
      </c>
      <c r="I491" s="1">
        <v>0</v>
      </c>
      <c r="J491" t="s">
        <v>157</v>
      </c>
      <c r="K491" s="1">
        <v>1</v>
      </c>
      <c r="L491" s="1">
        <v>1</v>
      </c>
      <c r="M491" s="1">
        <v>1</v>
      </c>
    </row>
    <row r="492" spans="1:13" x14ac:dyDescent="0.3">
      <c r="A492" t="s">
        <v>572</v>
      </c>
      <c r="B492" t="s">
        <v>225</v>
      </c>
      <c r="C492" t="s">
        <v>42</v>
      </c>
      <c r="D492" t="s">
        <v>156</v>
      </c>
      <c r="E492">
        <v>6</v>
      </c>
      <c r="F492" t="s">
        <v>38</v>
      </c>
      <c r="G492" s="1">
        <v>0</v>
      </c>
      <c r="H492" s="1">
        <v>0</v>
      </c>
      <c r="I492" s="1">
        <v>0</v>
      </c>
      <c r="J492" t="s">
        <v>157</v>
      </c>
      <c r="K492" s="1">
        <v>1</v>
      </c>
      <c r="L492" s="1">
        <v>1</v>
      </c>
      <c r="M492" s="1">
        <v>1</v>
      </c>
    </row>
    <row r="493" spans="1:13" x14ac:dyDescent="0.3">
      <c r="A493" t="s">
        <v>573</v>
      </c>
      <c r="B493" t="s">
        <v>225</v>
      </c>
      <c r="C493" t="s">
        <v>42</v>
      </c>
      <c r="D493" t="s">
        <v>156</v>
      </c>
      <c r="E493">
        <v>6</v>
      </c>
      <c r="F493" t="s">
        <v>40</v>
      </c>
      <c r="G493" s="1">
        <v>0</v>
      </c>
      <c r="H493" s="1">
        <v>0</v>
      </c>
      <c r="I493" s="1">
        <v>0</v>
      </c>
      <c r="J493" t="s">
        <v>157</v>
      </c>
      <c r="K493" s="1">
        <v>1</v>
      </c>
      <c r="L493" s="1">
        <v>1</v>
      </c>
      <c r="M493" s="1">
        <v>1</v>
      </c>
    </row>
    <row r="494" spans="1:13" x14ac:dyDescent="0.3">
      <c r="A494" t="s">
        <v>574</v>
      </c>
      <c r="B494" t="s">
        <v>225</v>
      </c>
      <c r="C494" t="s">
        <v>42</v>
      </c>
      <c r="D494" t="s">
        <v>156</v>
      </c>
      <c r="E494">
        <v>6</v>
      </c>
      <c r="F494" t="s">
        <v>64</v>
      </c>
      <c r="G494" s="1">
        <v>0</v>
      </c>
      <c r="H494" s="1">
        <v>0</v>
      </c>
      <c r="I494" s="1">
        <v>0</v>
      </c>
      <c r="J494" t="s">
        <v>157</v>
      </c>
      <c r="K494" s="1">
        <v>1</v>
      </c>
      <c r="L494" s="1">
        <v>1</v>
      </c>
      <c r="M494" s="1">
        <v>1</v>
      </c>
    </row>
    <row r="495" spans="1:13" x14ac:dyDescent="0.3">
      <c r="A495" t="s">
        <v>575</v>
      </c>
      <c r="B495" t="s">
        <v>225</v>
      </c>
      <c r="C495" t="s">
        <v>42</v>
      </c>
      <c r="D495" t="s">
        <v>156</v>
      </c>
      <c r="E495">
        <v>6</v>
      </c>
      <c r="F495" t="s">
        <v>66</v>
      </c>
      <c r="G495" s="1">
        <v>0</v>
      </c>
      <c r="H495" s="1">
        <v>0</v>
      </c>
      <c r="I495" s="1">
        <v>0</v>
      </c>
      <c r="J495" t="s">
        <v>157</v>
      </c>
      <c r="K495" s="1">
        <v>1</v>
      </c>
      <c r="L495" s="1">
        <v>1</v>
      </c>
      <c r="M495" s="1">
        <v>1</v>
      </c>
    </row>
    <row r="496" spans="1:13" x14ac:dyDescent="0.3">
      <c r="A496" t="s">
        <v>576</v>
      </c>
      <c r="B496" t="s">
        <v>225</v>
      </c>
      <c r="C496" t="s">
        <v>42</v>
      </c>
      <c r="D496" t="s">
        <v>156</v>
      </c>
      <c r="E496">
        <v>6</v>
      </c>
      <c r="F496" t="s">
        <v>68</v>
      </c>
      <c r="G496" s="1">
        <v>0</v>
      </c>
      <c r="H496" s="1">
        <v>0</v>
      </c>
      <c r="I496" s="1">
        <v>0</v>
      </c>
      <c r="J496" t="s">
        <v>157</v>
      </c>
      <c r="K496" s="1">
        <v>1</v>
      </c>
      <c r="L496" s="1">
        <v>1</v>
      </c>
      <c r="M496" s="1">
        <v>1</v>
      </c>
    </row>
    <row r="497" spans="1:13" x14ac:dyDescent="0.3">
      <c r="A497" t="s">
        <v>577</v>
      </c>
      <c r="B497" t="s">
        <v>225</v>
      </c>
      <c r="C497" t="s">
        <v>42</v>
      </c>
      <c r="D497" t="s">
        <v>156</v>
      </c>
      <c r="E497">
        <v>6</v>
      </c>
      <c r="F497" t="s">
        <v>70</v>
      </c>
      <c r="G497" s="1">
        <v>0</v>
      </c>
      <c r="H497" s="1">
        <v>0</v>
      </c>
      <c r="I497" s="1">
        <v>0</v>
      </c>
      <c r="J497" t="s">
        <v>157</v>
      </c>
      <c r="K497" s="1">
        <v>1</v>
      </c>
      <c r="L497" s="1">
        <v>1</v>
      </c>
      <c r="M497" s="1">
        <v>1</v>
      </c>
    </row>
    <row r="498" spans="1:13" x14ac:dyDescent="0.3">
      <c r="A498" t="s">
        <v>578</v>
      </c>
      <c r="B498" t="s">
        <v>225</v>
      </c>
      <c r="C498" t="s">
        <v>42</v>
      </c>
      <c r="D498" t="s">
        <v>156</v>
      </c>
      <c r="E498">
        <v>6</v>
      </c>
      <c r="F498" t="s">
        <v>72</v>
      </c>
      <c r="G498" s="1">
        <v>0</v>
      </c>
      <c r="H498" s="1">
        <v>0</v>
      </c>
      <c r="I498" s="1">
        <v>0</v>
      </c>
      <c r="J498" t="s">
        <v>157</v>
      </c>
      <c r="K498" s="1">
        <v>1</v>
      </c>
      <c r="L498" s="1">
        <v>1</v>
      </c>
      <c r="M498" s="1">
        <v>1</v>
      </c>
    </row>
    <row r="499" spans="1:13" x14ac:dyDescent="0.3">
      <c r="A499" t="s">
        <v>579</v>
      </c>
      <c r="B499" t="s">
        <v>225</v>
      </c>
      <c r="C499" t="s">
        <v>42</v>
      </c>
      <c r="D499" t="s">
        <v>156</v>
      </c>
      <c r="E499">
        <v>6</v>
      </c>
      <c r="F499" t="s">
        <v>74</v>
      </c>
      <c r="G499" s="1">
        <v>0</v>
      </c>
      <c r="H499" s="1">
        <v>0</v>
      </c>
      <c r="I499" s="1">
        <v>0</v>
      </c>
      <c r="J499" t="s">
        <v>157</v>
      </c>
      <c r="K499" s="1">
        <v>1</v>
      </c>
      <c r="L499" s="1">
        <v>1</v>
      </c>
      <c r="M499" s="1">
        <v>1</v>
      </c>
    </row>
    <row r="500" spans="1:13" x14ac:dyDescent="0.3">
      <c r="A500" t="s">
        <v>580</v>
      </c>
      <c r="B500" t="s">
        <v>225</v>
      </c>
      <c r="C500" t="s">
        <v>42</v>
      </c>
      <c r="D500" t="s">
        <v>156</v>
      </c>
      <c r="E500">
        <v>6</v>
      </c>
      <c r="F500" t="s">
        <v>76</v>
      </c>
      <c r="G500" s="1">
        <v>0</v>
      </c>
      <c r="H500" s="1">
        <v>0</v>
      </c>
      <c r="I500" s="1">
        <v>0</v>
      </c>
      <c r="J500" t="s">
        <v>157</v>
      </c>
      <c r="K500" s="1">
        <v>1</v>
      </c>
      <c r="L500" s="1">
        <v>1</v>
      </c>
      <c r="M500" s="1">
        <v>1</v>
      </c>
    </row>
    <row r="501" spans="1:13" x14ac:dyDescent="0.3">
      <c r="A501" t="s">
        <v>581</v>
      </c>
      <c r="B501" t="s">
        <v>225</v>
      </c>
      <c r="C501" t="s">
        <v>42</v>
      </c>
      <c r="D501" t="s">
        <v>156</v>
      </c>
      <c r="E501">
        <v>6</v>
      </c>
      <c r="F501" t="s">
        <v>78</v>
      </c>
      <c r="G501" s="1">
        <v>0</v>
      </c>
      <c r="H501" s="1">
        <v>0</v>
      </c>
      <c r="I501" s="1">
        <v>0</v>
      </c>
      <c r="J501" t="s">
        <v>157</v>
      </c>
      <c r="K501" s="1">
        <v>1</v>
      </c>
      <c r="L501" s="1">
        <v>1</v>
      </c>
      <c r="M501" s="1">
        <v>1</v>
      </c>
    </row>
    <row r="502" spans="1:13" x14ac:dyDescent="0.3">
      <c r="A502" t="s">
        <v>582</v>
      </c>
      <c r="B502" t="s">
        <v>225</v>
      </c>
      <c r="C502" t="s">
        <v>42</v>
      </c>
      <c r="D502" t="s">
        <v>156</v>
      </c>
      <c r="E502">
        <v>6</v>
      </c>
      <c r="F502" t="s">
        <v>80</v>
      </c>
      <c r="G502" s="1">
        <v>0</v>
      </c>
      <c r="H502" s="1">
        <v>0</v>
      </c>
      <c r="I502" s="1">
        <v>0</v>
      </c>
      <c r="J502" t="s">
        <v>157</v>
      </c>
      <c r="K502" s="1">
        <v>1</v>
      </c>
      <c r="L502" s="1">
        <v>1</v>
      </c>
      <c r="M502" s="1">
        <v>1</v>
      </c>
    </row>
    <row r="503" spans="1:13" x14ac:dyDescent="0.3">
      <c r="A503" t="s">
        <v>583</v>
      </c>
      <c r="B503" t="s">
        <v>225</v>
      </c>
      <c r="C503" t="s">
        <v>42</v>
      </c>
      <c r="D503" t="s">
        <v>156</v>
      </c>
      <c r="E503">
        <v>6</v>
      </c>
      <c r="F503" t="s">
        <v>82</v>
      </c>
      <c r="G503" s="1">
        <v>0</v>
      </c>
      <c r="H503" s="1">
        <v>0</v>
      </c>
      <c r="I503" s="1">
        <v>0</v>
      </c>
      <c r="J503" t="s">
        <v>157</v>
      </c>
      <c r="K503" s="1">
        <v>1</v>
      </c>
      <c r="L503" s="1">
        <v>1</v>
      </c>
      <c r="M503" s="1">
        <v>1</v>
      </c>
    </row>
    <row r="504" spans="1:13" x14ac:dyDescent="0.3">
      <c r="A504" t="s">
        <v>584</v>
      </c>
      <c r="B504" t="s">
        <v>225</v>
      </c>
      <c r="C504" t="s">
        <v>42</v>
      </c>
      <c r="D504" t="s">
        <v>156</v>
      </c>
      <c r="E504">
        <v>6</v>
      </c>
      <c r="F504" t="s">
        <v>84</v>
      </c>
      <c r="G504" s="1">
        <v>0</v>
      </c>
      <c r="H504" s="1">
        <v>0</v>
      </c>
      <c r="I504" s="1">
        <v>0</v>
      </c>
      <c r="J504" t="s">
        <v>157</v>
      </c>
      <c r="K504" s="1">
        <v>1</v>
      </c>
      <c r="L504" s="1">
        <v>1</v>
      </c>
      <c r="M504" s="1">
        <v>1</v>
      </c>
    </row>
    <row r="505" spans="1:13" x14ac:dyDescent="0.3">
      <c r="A505" t="s">
        <v>585</v>
      </c>
      <c r="B505" t="s">
        <v>225</v>
      </c>
      <c r="C505" t="s">
        <v>42</v>
      </c>
      <c r="D505" t="s">
        <v>156</v>
      </c>
      <c r="E505">
        <v>6</v>
      </c>
      <c r="F505" t="s">
        <v>181</v>
      </c>
      <c r="G505" s="1">
        <v>0</v>
      </c>
      <c r="H505" s="1">
        <v>0</v>
      </c>
      <c r="I505" s="1">
        <v>0</v>
      </c>
      <c r="J505" t="s">
        <v>157</v>
      </c>
      <c r="K505" s="1">
        <v>1</v>
      </c>
      <c r="L505" s="1">
        <v>1</v>
      </c>
      <c r="M505" s="1">
        <v>1</v>
      </c>
    </row>
    <row r="506" spans="1:13" x14ac:dyDescent="0.3">
      <c r="A506" t="s">
        <v>586</v>
      </c>
      <c r="B506" t="s">
        <v>225</v>
      </c>
      <c r="C506" t="s">
        <v>42</v>
      </c>
      <c r="D506" t="s">
        <v>156</v>
      </c>
      <c r="E506">
        <v>6</v>
      </c>
      <c r="F506" t="s">
        <v>183</v>
      </c>
      <c r="G506" s="1">
        <v>0</v>
      </c>
      <c r="H506" s="1">
        <v>0</v>
      </c>
      <c r="I506" s="1">
        <v>0</v>
      </c>
      <c r="J506" t="s">
        <v>157</v>
      </c>
      <c r="K506" s="1">
        <v>1</v>
      </c>
      <c r="L506" s="1">
        <v>1</v>
      </c>
      <c r="M506" s="1">
        <v>1</v>
      </c>
    </row>
    <row r="507" spans="1:13" x14ac:dyDescent="0.3">
      <c r="A507" t="s">
        <v>587</v>
      </c>
      <c r="B507" t="s">
        <v>225</v>
      </c>
      <c r="C507" t="s">
        <v>42</v>
      </c>
      <c r="D507" t="s">
        <v>156</v>
      </c>
      <c r="E507">
        <v>6</v>
      </c>
      <c r="F507" t="s">
        <v>185</v>
      </c>
      <c r="G507" s="1">
        <v>0</v>
      </c>
      <c r="H507" s="1">
        <v>0</v>
      </c>
      <c r="I507" s="1">
        <v>0</v>
      </c>
      <c r="J507" t="s">
        <v>157</v>
      </c>
      <c r="K507" s="1">
        <v>1</v>
      </c>
      <c r="L507" s="1">
        <v>1</v>
      </c>
      <c r="M507" s="1">
        <v>1</v>
      </c>
    </row>
    <row r="508" spans="1:13" x14ac:dyDescent="0.3">
      <c r="A508" t="s">
        <v>588</v>
      </c>
      <c r="B508" t="s">
        <v>225</v>
      </c>
      <c r="C508" t="s">
        <v>42</v>
      </c>
      <c r="D508" t="s">
        <v>156</v>
      </c>
      <c r="E508">
        <v>6</v>
      </c>
      <c r="F508" t="s">
        <v>187</v>
      </c>
      <c r="G508" s="1">
        <v>0</v>
      </c>
      <c r="H508" s="1">
        <v>0</v>
      </c>
      <c r="I508" s="1">
        <v>0</v>
      </c>
      <c r="J508" t="s">
        <v>157</v>
      </c>
      <c r="K508" s="1">
        <v>1</v>
      </c>
      <c r="L508" s="1">
        <v>1</v>
      </c>
      <c r="M508" s="1">
        <v>1</v>
      </c>
    </row>
    <row r="509" spans="1:13" x14ac:dyDescent="0.3">
      <c r="A509" t="s">
        <v>589</v>
      </c>
      <c r="B509" t="s">
        <v>225</v>
      </c>
      <c r="C509" t="s">
        <v>42</v>
      </c>
      <c r="D509" t="s">
        <v>156</v>
      </c>
      <c r="E509">
        <v>6</v>
      </c>
      <c r="F509" t="s">
        <v>189</v>
      </c>
      <c r="G509" s="1">
        <v>0</v>
      </c>
      <c r="H509" s="1">
        <v>0</v>
      </c>
      <c r="I509" s="1">
        <v>0</v>
      </c>
      <c r="J509" t="s">
        <v>157</v>
      </c>
      <c r="K509" s="1">
        <v>1</v>
      </c>
      <c r="L509" s="1">
        <v>1</v>
      </c>
      <c r="M509" s="1">
        <v>1</v>
      </c>
    </row>
    <row r="510" spans="1:13" x14ac:dyDescent="0.3">
      <c r="A510" t="s">
        <v>590</v>
      </c>
      <c r="B510" t="s">
        <v>225</v>
      </c>
      <c r="C510" t="s">
        <v>42</v>
      </c>
      <c r="D510" t="s">
        <v>156</v>
      </c>
      <c r="E510">
        <v>6</v>
      </c>
      <c r="F510" t="s">
        <v>191</v>
      </c>
      <c r="G510" s="1">
        <v>0</v>
      </c>
      <c r="H510" s="1">
        <v>0</v>
      </c>
      <c r="I510" s="1">
        <v>0</v>
      </c>
      <c r="J510" t="s">
        <v>157</v>
      </c>
      <c r="K510" s="1">
        <v>1</v>
      </c>
      <c r="L510" s="1">
        <v>1</v>
      </c>
      <c r="M510" s="1">
        <v>1</v>
      </c>
    </row>
    <row r="511" spans="1:13" x14ac:dyDescent="0.3">
      <c r="A511" t="s">
        <v>591</v>
      </c>
      <c r="B511" t="s">
        <v>225</v>
      </c>
      <c r="C511" t="s">
        <v>42</v>
      </c>
      <c r="D511" t="s">
        <v>156</v>
      </c>
      <c r="E511">
        <v>6</v>
      </c>
      <c r="F511" t="s">
        <v>193</v>
      </c>
      <c r="G511" s="1">
        <v>0</v>
      </c>
      <c r="H511" s="1">
        <v>0</v>
      </c>
      <c r="I511" s="1">
        <v>0</v>
      </c>
      <c r="J511" t="s">
        <v>157</v>
      </c>
      <c r="K511" s="1">
        <v>1</v>
      </c>
      <c r="L511" s="1">
        <v>1</v>
      </c>
      <c r="M511" s="1">
        <v>1</v>
      </c>
    </row>
    <row r="512" spans="1:13" x14ac:dyDescent="0.3">
      <c r="A512" t="s">
        <v>592</v>
      </c>
      <c r="B512" t="s">
        <v>225</v>
      </c>
      <c r="C512" t="s">
        <v>42</v>
      </c>
      <c r="D512" t="s">
        <v>156</v>
      </c>
      <c r="E512">
        <v>6</v>
      </c>
      <c r="F512" t="s">
        <v>195</v>
      </c>
      <c r="G512" s="1">
        <v>0</v>
      </c>
      <c r="H512" s="1">
        <v>0</v>
      </c>
      <c r="I512" s="1">
        <v>0</v>
      </c>
      <c r="J512" t="s">
        <v>157</v>
      </c>
      <c r="K512" s="1">
        <v>1</v>
      </c>
      <c r="L512" s="1">
        <v>1</v>
      </c>
      <c r="M512" s="1">
        <v>1</v>
      </c>
    </row>
    <row r="513" spans="1:13" x14ac:dyDescent="0.3">
      <c r="A513" t="s">
        <v>593</v>
      </c>
      <c r="B513" t="s">
        <v>225</v>
      </c>
      <c r="C513" t="s">
        <v>42</v>
      </c>
      <c r="D513" t="s">
        <v>156</v>
      </c>
      <c r="E513">
        <v>6</v>
      </c>
      <c r="F513" t="s">
        <v>197</v>
      </c>
      <c r="G513" s="1">
        <v>0</v>
      </c>
      <c r="H513" s="1">
        <v>0</v>
      </c>
      <c r="I513" s="1">
        <v>0</v>
      </c>
      <c r="J513" t="s">
        <v>157</v>
      </c>
      <c r="K513" s="1">
        <v>1</v>
      </c>
      <c r="L513" s="1">
        <v>1</v>
      </c>
      <c r="M513" s="1">
        <v>1</v>
      </c>
    </row>
    <row r="514" spans="1:13" x14ac:dyDescent="0.3">
      <c r="A514" t="s">
        <v>594</v>
      </c>
      <c r="B514" t="s">
        <v>225</v>
      </c>
      <c r="C514" t="s">
        <v>42</v>
      </c>
      <c r="D514" t="s">
        <v>156</v>
      </c>
      <c r="E514">
        <v>6</v>
      </c>
      <c r="F514" t="s">
        <v>199</v>
      </c>
      <c r="G514" s="1">
        <v>0</v>
      </c>
      <c r="H514" s="1">
        <v>0</v>
      </c>
      <c r="I514" s="1">
        <v>0</v>
      </c>
      <c r="J514" t="s">
        <v>157</v>
      </c>
      <c r="K514" s="1">
        <v>1</v>
      </c>
      <c r="L514" s="1">
        <v>1</v>
      </c>
      <c r="M514" s="1">
        <v>1</v>
      </c>
    </row>
    <row r="515" spans="1:13" x14ac:dyDescent="0.3">
      <c r="A515" t="s">
        <v>595</v>
      </c>
      <c r="B515" t="s">
        <v>225</v>
      </c>
      <c r="C515" t="s">
        <v>42</v>
      </c>
      <c r="D515" t="s">
        <v>156</v>
      </c>
      <c r="E515">
        <v>6</v>
      </c>
      <c r="F515" t="s">
        <v>201</v>
      </c>
      <c r="G515" s="1">
        <v>0</v>
      </c>
      <c r="H515" s="1">
        <v>0</v>
      </c>
      <c r="I515" s="1">
        <v>0</v>
      </c>
      <c r="J515" t="s">
        <v>157</v>
      </c>
      <c r="K515" s="1">
        <v>1</v>
      </c>
      <c r="L515" s="1">
        <v>1</v>
      </c>
      <c r="M515" s="1">
        <v>1</v>
      </c>
    </row>
    <row r="516" spans="1:13" x14ac:dyDescent="0.3">
      <c r="A516" t="s">
        <v>596</v>
      </c>
      <c r="B516" t="s">
        <v>225</v>
      </c>
      <c r="C516" t="s">
        <v>42</v>
      </c>
      <c r="D516" t="s">
        <v>156</v>
      </c>
      <c r="E516">
        <v>6</v>
      </c>
      <c r="F516" t="s">
        <v>203</v>
      </c>
      <c r="G516" s="1">
        <v>0</v>
      </c>
      <c r="H516" s="1">
        <v>0</v>
      </c>
      <c r="I516" s="1">
        <v>0</v>
      </c>
      <c r="J516" t="s">
        <v>157</v>
      </c>
      <c r="K516" s="1">
        <v>1</v>
      </c>
      <c r="L516" s="1">
        <v>1</v>
      </c>
      <c r="M516" s="1">
        <v>1</v>
      </c>
    </row>
    <row r="517" spans="1:13" x14ac:dyDescent="0.3">
      <c r="A517" t="s">
        <v>597</v>
      </c>
      <c r="B517" t="s">
        <v>225</v>
      </c>
      <c r="C517" t="s">
        <v>42</v>
      </c>
      <c r="D517" t="s">
        <v>156</v>
      </c>
      <c r="E517">
        <v>6</v>
      </c>
      <c r="F517" t="s">
        <v>205</v>
      </c>
      <c r="G517" s="1">
        <v>0</v>
      </c>
      <c r="H517" s="1">
        <v>0</v>
      </c>
      <c r="I517" s="1">
        <v>0</v>
      </c>
      <c r="J517" t="s">
        <v>157</v>
      </c>
      <c r="K517" s="1">
        <v>1</v>
      </c>
      <c r="L517" s="1">
        <v>1</v>
      </c>
      <c r="M517" s="1">
        <v>1</v>
      </c>
    </row>
    <row r="518" spans="1:13" x14ac:dyDescent="0.3">
      <c r="A518" t="s">
        <v>598</v>
      </c>
      <c r="B518" t="s">
        <v>225</v>
      </c>
      <c r="C518" t="s">
        <v>42</v>
      </c>
      <c r="D518" t="s">
        <v>156</v>
      </c>
      <c r="E518">
        <v>6</v>
      </c>
      <c r="F518" t="s">
        <v>207</v>
      </c>
      <c r="G518" s="1">
        <v>0</v>
      </c>
      <c r="H518" s="1">
        <v>0</v>
      </c>
      <c r="I518" s="1">
        <v>0</v>
      </c>
      <c r="J518" t="s">
        <v>157</v>
      </c>
      <c r="K518" s="1">
        <v>1</v>
      </c>
      <c r="L518" s="1">
        <v>1</v>
      </c>
      <c r="M518" s="1">
        <v>1</v>
      </c>
    </row>
    <row r="519" spans="1:13" x14ac:dyDescent="0.3">
      <c r="A519" t="s">
        <v>599</v>
      </c>
      <c r="B519" t="s">
        <v>225</v>
      </c>
      <c r="C519" t="s">
        <v>42</v>
      </c>
      <c r="D519" t="s">
        <v>156</v>
      </c>
      <c r="E519">
        <v>6</v>
      </c>
      <c r="F519" t="s">
        <v>209</v>
      </c>
      <c r="G519" s="1">
        <v>0</v>
      </c>
      <c r="H519" s="1">
        <v>0</v>
      </c>
      <c r="I519" s="1">
        <v>0</v>
      </c>
      <c r="J519" t="s">
        <v>157</v>
      </c>
      <c r="K519" s="1">
        <v>1</v>
      </c>
      <c r="L519" s="1">
        <v>1</v>
      </c>
      <c r="M519" s="1">
        <v>1</v>
      </c>
    </row>
    <row r="520" spans="1:13" x14ac:dyDescent="0.3">
      <c r="A520" t="s">
        <v>600</v>
      </c>
      <c r="B520" t="s">
        <v>225</v>
      </c>
      <c r="C520" t="s">
        <v>42</v>
      </c>
      <c r="D520" t="s">
        <v>156</v>
      </c>
      <c r="E520">
        <v>6</v>
      </c>
      <c r="F520" t="s">
        <v>211</v>
      </c>
      <c r="G520" s="1">
        <v>0</v>
      </c>
      <c r="H520" s="1">
        <v>0</v>
      </c>
      <c r="I520" s="1">
        <v>0</v>
      </c>
      <c r="J520" t="s">
        <v>157</v>
      </c>
      <c r="K520" s="1">
        <v>1</v>
      </c>
      <c r="L520" s="1">
        <v>1</v>
      </c>
      <c r="M520" s="1">
        <v>1</v>
      </c>
    </row>
    <row r="521" spans="1:13" x14ac:dyDescent="0.3">
      <c r="A521" t="s">
        <v>601</v>
      </c>
      <c r="B521" t="s">
        <v>225</v>
      </c>
      <c r="C521" t="s">
        <v>42</v>
      </c>
      <c r="D521" t="s">
        <v>156</v>
      </c>
      <c r="E521">
        <v>6</v>
      </c>
      <c r="F521" t="s">
        <v>213</v>
      </c>
      <c r="G521" s="1">
        <v>0</v>
      </c>
      <c r="H521" s="1">
        <v>0</v>
      </c>
      <c r="I521" s="1">
        <v>0</v>
      </c>
      <c r="J521" t="s">
        <v>157</v>
      </c>
      <c r="K521" s="1">
        <v>1</v>
      </c>
      <c r="L521" s="1">
        <v>1</v>
      </c>
      <c r="M521" s="1">
        <v>1</v>
      </c>
    </row>
    <row r="522" spans="1:13" x14ac:dyDescent="0.3">
      <c r="A522" t="s">
        <v>602</v>
      </c>
      <c r="B522" t="s">
        <v>225</v>
      </c>
      <c r="C522" t="s">
        <v>42</v>
      </c>
      <c r="D522" t="s">
        <v>156</v>
      </c>
      <c r="E522">
        <v>6</v>
      </c>
      <c r="F522" t="s">
        <v>215</v>
      </c>
      <c r="G522" s="1">
        <v>0</v>
      </c>
      <c r="H522" s="1">
        <v>0</v>
      </c>
      <c r="I522" s="1">
        <v>0</v>
      </c>
      <c r="J522" t="s">
        <v>157</v>
      </c>
      <c r="K522" s="1">
        <v>1</v>
      </c>
      <c r="L522" s="1">
        <v>1</v>
      </c>
      <c r="M522" s="1">
        <v>1</v>
      </c>
    </row>
    <row r="523" spans="1:13" x14ac:dyDescent="0.3">
      <c r="A523" t="s">
        <v>603</v>
      </c>
      <c r="B523" t="s">
        <v>225</v>
      </c>
      <c r="C523" t="s">
        <v>42</v>
      </c>
      <c r="D523" t="s">
        <v>156</v>
      </c>
      <c r="E523">
        <v>6</v>
      </c>
      <c r="F523" t="s">
        <v>217</v>
      </c>
      <c r="G523" s="1">
        <v>0</v>
      </c>
      <c r="H523" s="1">
        <v>0</v>
      </c>
      <c r="I523" s="1">
        <v>0</v>
      </c>
      <c r="J523" t="s">
        <v>157</v>
      </c>
      <c r="K523" s="1">
        <v>1</v>
      </c>
      <c r="L523" s="1">
        <v>1</v>
      </c>
      <c r="M523" s="1">
        <v>1</v>
      </c>
    </row>
    <row r="524" spans="1:13" x14ac:dyDescent="0.3">
      <c r="A524" t="s">
        <v>604</v>
      </c>
      <c r="B524" t="s">
        <v>225</v>
      </c>
      <c r="C524" t="s">
        <v>42</v>
      </c>
      <c r="D524" t="s">
        <v>156</v>
      </c>
      <c r="E524">
        <v>6</v>
      </c>
      <c r="F524" t="s">
        <v>219</v>
      </c>
      <c r="G524" s="1">
        <v>0</v>
      </c>
      <c r="H524" s="1">
        <v>0</v>
      </c>
      <c r="I524" s="1">
        <v>0</v>
      </c>
      <c r="J524" t="s">
        <v>157</v>
      </c>
      <c r="K524" s="1">
        <v>1</v>
      </c>
      <c r="L524" s="1">
        <v>1</v>
      </c>
      <c r="M524" s="1">
        <v>1</v>
      </c>
    </row>
    <row r="525" spans="1:13" x14ac:dyDescent="0.3">
      <c r="A525" t="s">
        <v>605</v>
      </c>
      <c r="B525" t="s">
        <v>225</v>
      </c>
      <c r="C525" t="s">
        <v>42</v>
      </c>
      <c r="D525" t="s">
        <v>156</v>
      </c>
      <c r="E525">
        <v>6</v>
      </c>
      <c r="F525" t="s">
        <v>221</v>
      </c>
      <c r="G525" s="1">
        <v>0</v>
      </c>
      <c r="H525" s="1">
        <v>0</v>
      </c>
      <c r="I525" s="1">
        <v>0</v>
      </c>
      <c r="J525" t="s">
        <v>157</v>
      </c>
      <c r="K525" s="1">
        <v>1</v>
      </c>
      <c r="L525" s="1">
        <v>1</v>
      </c>
      <c r="M525" s="1">
        <v>1</v>
      </c>
    </row>
    <row r="526" spans="1:13" x14ac:dyDescent="0.3">
      <c r="A526" t="s">
        <v>606</v>
      </c>
      <c r="B526" t="s">
        <v>225</v>
      </c>
      <c r="C526" t="s">
        <v>42</v>
      </c>
      <c r="D526" t="s">
        <v>156</v>
      </c>
      <c r="E526">
        <v>6</v>
      </c>
      <c r="F526" t="s">
        <v>223</v>
      </c>
      <c r="G526" s="1">
        <v>0</v>
      </c>
      <c r="H526" s="1">
        <v>0</v>
      </c>
      <c r="I526" s="1">
        <v>0</v>
      </c>
      <c r="J526" t="s">
        <v>157</v>
      </c>
      <c r="K526" s="1">
        <v>1</v>
      </c>
      <c r="L526" s="1">
        <v>1</v>
      </c>
      <c r="M526" s="1">
        <v>1</v>
      </c>
    </row>
    <row r="527" spans="1:13" x14ac:dyDescent="0.3">
      <c r="A527" t="s">
        <v>607</v>
      </c>
      <c r="B527" t="s">
        <v>225</v>
      </c>
      <c r="C527" t="s">
        <v>42</v>
      </c>
      <c r="D527" t="s">
        <v>156</v>
      </c>
      <c r="E527">
        <v>6</v>
      </c>
      <c r="F527" t="s">
        <v>608</v>
      </c>
      <c r="G527" s="1">
        <v>0</v>
      </c>
      <c r="H527" s="1">
        <v>0</v>
      </c>
      <c r="I527" s="1">
        <v>0</v>
      </c>
      <c r="J527" t="s">
        <v>157</v>
      </c>
      <c r="K527" s="1">
        <v>1</v>
      </c>
      <c r="L527" s="1">
        <v>1</v>
      </c>
      <c r="M527" s="1">
        <v>1</v>
      </c>
    </row>
    <row r="528" spans="1:13" x14ac:dyDescent="0.3">
      <c r="A528" t="s">
        <v>609</v>
      </c>
      <c r="B528" t="s">
        <v>225</v>
      </c>
      <c r="C528" t="s">
        <v>42</v>
      </c>
      <c r="D528" t="s">
        <v>156</v>
      </c>
      <c r="E528">
        <v>6</v>
      </c>
      <c r="F528" t="s">
        <v>610</v>
      </c>
      <c r="G528" s="1">
        <v>0</v>
      </c>
      <c r="H528" s="1">
        <v>0</v>
      </c>
      <c r="I528" s="1">
        <v>0</v>
      </c>
      <c r="J528" t="s">
        <v>157</v>
      </c>
      <c r="K528" s="1">
        <v>1</v>
      </c>
      <c r="L528" s="1">
        <v>1</v>
      </c>
      <c r="M528" s="1">
        <v>1</v>
      </c>
    </row>
    <row r="529" spans="1:13" x14ac:dyDescent="0.3">
      <c r="A529" t="s">
        <v>611</v>
      </c>
      <c r="B529" t="s">
        <v>225</v>
      </c>
      <c r="C529" t="s">
        <v>42</v>
      </c>
      <c r="D529" t="s">
        <v>156</v>
      </c>
      <c r="E529">
        <v>6</v>
      </c>
      <c r="F529" t="s">
        <v>612</v>
      </c>
      <c r="G529" s="1">
        <v>0</v>
      </c>
      <c r="H529" s="1">
        <v>0</v>
      </c>
      <c r="I529" s="1">
        <v>0</v>
      </c>
      <c r="J529" t="s">
        <v>157</v>
      </c>
      <c r="K529" s="1">
        <v>1</v>
      </c>
      <c r="L529" s="1">
        <v>1</v>
      </c>
      <c r="M529" s="1">
        <v>1</v>
      </c>
    </row>
    <row r="530" spans="1:13" x14ac:dyDescent="0.3">
      <c r="A530" t="s">
        <v>613</v>
      </c>
      <c r="B530" t="s">
        <v>225</v>
      </c>
      <c r="C530" t="s">
        <v>42</v>
      </c>
      <c r="D530" t="s">
        <v>156</v>
      </c>
      <c r="E530">
        <v>6</v>
      </c>
      <c r="F530" t="s">
        <v>614</v>
      </c>
      <c r="G530" s="1">
        <v>0</v>
      </c>
      <c r="H530" s="1">
        <v>0</v>
      </c>
      <c r="I530" s="1">
        <v>0</v>
      </c>
      <c r="J530" t="s">
        <v>157</v>
      </c>
      <c r="K530" s="1">
        <v>1</v>
      </c>
      <c r="L530" s="1">
        <v>1</v>
      </c>
      <c r="M530" s="1">
        <v>1</v>
      </c>
    </row>
    <row r="531" spans="1:13" x14ac:dyDescent="0.3">
      <c r="A531" t="s">
        <v>615</v>
      </c>
      <c r="B531" t="s">
        <v>225</v>
      </c>
      <c r="C531" t="s">
        <v>42</v>
      </c>
      <c r="D531" t="s">
        <v>156</v>
      </c>
      <c r="E531">
        <v>6</v>
      </c>
      <c r="F531" t="s">
        <v>616</v>
      </c>
      <c r="G531" s="1">
        <v>0</v>
      </c>
      <c r="H531" s="1">
        <v>0</v>
      </c>
      <c r="I531" s="1">
        <v>0</v>
      </c>
      <c r="J531" t="s">
        <v>157</v>
      </c>
      <c r="K531" s="1">
        <v>1</v>
      </c>
      <c r="L531" s="1">
        <v>1</v>
      </c>
      <c r="M531" s="1">
        <v>1</v>
      </c>
    </row>
    <row r="532" spans="1:13" x14ac:dyDescent="0.3">
      <c r="A532" t="s">
        <v>617</v>
      </c>
      <c r="B532" t="s">
        <v>225</v>
      </c>
      <c r="C532" t="s">
        <v>325</v>
      </c>
      <c r="D532" t="s">
        <v>618</v>
      </c>
      <c r="E532">
        <v>6</v>
      </c>
      <c r="F532" t="s">
        <v>17</v>
      </c>
      <c r="J532" t="s">
        <v>44</v>
      </c>
    </row>
    <row r="533" spans="1:13" x14ac:dyDescent="0.3">
      <c r="A533" t="s">
        <v>619</v>
      </c>
      <c r="B533" t="s">
        <v>225</v>
      </c>
      <c r="C533" t="s">
        <v>325</v>
      </c>
      <c r="D533" t="s">
        <v>618</v>
      </c>
      <c r="E533">
        <v>6</v>
      </c>
      <c r="F533" t="s">
        <v>20</v>
      </c>
      <c r="J533" t="s">
        <v>44</v>
      </c>
    </row>
    <row r="534" spans="1:13" x14ac:dyDescent="0.3">
      <c r="A534" t="s">
        <v>620</v>
      </c>
      <c r="B534" t="s">
        <v>225</v>
      </c>
      <c r="C534" t="s">
        <v>325</v>
      </c>
      <c r="D534" t="s">
        <v>618</v>
      </c>
      <c r="E534">
        <v>6</v>
      </c>
      <c r="F534" t="s">
        <v>22</v>
      </c>
      <c r="J534" t="s">
        <v>44</v>
      </c>
    </row>
    <row r="535" spans="1:13" x14ac:dyDescent="0.3">
      <c r="A535" t="s">
        <v>621</v>
      </c>
      <c r="B535" t="s">
        <v>225</v>
      </c>
      <c r="C535" t="s">
        <v>325</v>
      </c>
      <c r="D535" t="s">
        <v>618</v>
      </c>
      <c r="E535">
        <v>6</v>
      </c>
      <c r="F535" t="s">
        <v>24</v>
      </c>
      <c r="J535" t="s">
        <v>44</v>
      </c>
    </row>
    <row r="536" spans="1:13" x14ac:dyDescent="0.3">
      <c r="A536" t="s">
        <v>622</v>
      </c>
      <c r="B536" t="s">
        <v>225</v>
      </c>
      <c r="C536" t="s">
        <v>623</v>
      </c>
      <c r="D536" t="s">
        <v>624</v>
      </c>
      <c r="E536">
        <v>6</v>
      </c>
      <c r="F536" t="s">
        <v>17</v>
      </c>
      <c r="G536" s="1">
        <v>1</v>
      </c>
      <c r="H536" s="1">
        <v>1</v>
      </c>
      <c r="I536" s="1">
        <v>1</v>
      </c>
      <c r="J536" t="s">
        <v>44</v>
      </c>
      <c r="K536" s="1">
        <v>1</v>
      </c>
      <c r="L536" s="1">
        <v>1</v>
      </c>
      <c r="M536" s="1">
        <v>1</v>
      </c>
    </row>
    <row r="537" spans="1:13" x14ac:dyDescent="0.3">
      <c r="A537" t="s">
        <v>625</v>
      </c>
      <c r="B537" t="s">
        <v>225</v>
      </c>
      <c r="C537" t="s">
        <v>623</v>
      </c>
      <c r="D537" t="s">
        <v>626</v>
      </c>
      <c r="E537">
        <v>6</v>
      </c>
      <c r="F537" t="s">
        <v>17</v>
      </c>
      <c r="G537" s="1">
        <v>1</v>
      </c>
      <c r="H537" s="1">
        <v>1</v>
      </c>
      <c r="I537" s="1">
        <v>1</v>
      </c>
      <c r="J537" t="s">
        <v>44</v>
      </c>
      <c r="K537" s="1">
        <v>1</v>
      </c>
      <c r="L537" s="1">
        <v>1</v>
      </c>
      <c r="M537" s="1">
        <v>1</v>
      </c>
    </row>
    <row r="538" spans="1:13" x14ac:dyDescent="0.3">
      <c r="A538" t="s">
        <v>627</v>
      </c>
      <c r="B538" t="s">
        <v>225</v>
      </c>
      <c r="C538" t="s">
        <v>623</v>
      </c>
      <c r="D538" t="s">
        <v>626</v>
      </c>
      <c r="E538">
        <v>6</v>
      </c>
      <c r="F538" t="s">
        <v>20</v>
      </c>
      <c r="G538" s="1">
        <v>1</v>
      </c>
      <c r="H538" s="1">
        <v>1</v>
      </c>
      <c r="I538" s="1">
        <v>1</v>
      </c>
      <c r="J538" t="s">
        <v>44</v>
      </c>
      <c r="K538" s="1">
        <v>1</v>
      </c>
      <c r="L538" s="1">
        <v>1</v>
      </c>
      <c r="M538" s="1">
        <v>1</v>
      </c>
    </row>
    <row r="539" spans="1:13" x14ac:dyDescent="0.3">
      <c r="A539" t="s">
        <v>628</v>
      </c>
      <c r="B539" t="s">
        <v>225</v>
      </c>
      <c r="C539" t="s">
        <v>623</v>
      </c>
      <c r="D539" t="s">
        <v>626</v>
      </c>
      <c r="E539">
        <v>6</v>
      </c>
      <c r="F539" t="s">
        <v>22</v>
      </c>
      <c r="G539" s="1">
        <v>1</v>
      </c>
      <c r="H539" s="1">
        <v>1</v>
      </c>
      <c r="I539" s="1">
        <v>1</v>
      </c>
      <c r="J539" t="s">
        <v>44</v>
      </c>
      <c r="K539" s="1">
        <v>1</v>
      </c>
      <c r="L539" s="1">
        <v>1</v>
      </c>
      <c r="M539" s="1">
        <v>1</v>
      </c>
    </row>
    <row r="540" spans="1:13" x14ac:dyDescent="0.3">
      <c r="A540" t="s">
        <v>629</v>
      </c>
      <c r="B540" t="s">
        <v>225</v>
      </c>
      <c r="C540" t="s">
        <v>623</v>
      </c>
      <c r="D540" t="s">
        <v>626</v>
      </c>
      <c r="E540">
        <v>6</v>
      </c>
      <c r="F540" t="s">
        <v>24</v>
      </c>
      <c r="G540" s="1">
        <v>1</v>
      </c>
      <c r="H540" s="1">
        <v>1</v>
      </c>
      <c r="I540" s="1">
        <v>1</v>
      </c>
      <c r="J540" t="s">
        <v>44</v>
      </c>
      <c r="K540" s="1">
        <v>1</v>
      </c>
      <c r="L540" s="1">
        <v>1</v>
      </c>
      <c r="M540" s="1">
        <v>1</v>
      </c>
    </row>
    <row r="541" spans="1:13" x14ac:dyDescent="0.3">
      <c r="A541" t="s">
        <v>630</v>
      </c>
      <c r="B541" t="s">
        <v>225</v>
      </c>
      <c r="C541" t="s">
        <v>623</v>
      </c>
      <c r="D541" t="s">
        <v>626</v>
      </c>
      <c r="E541">
        <v>6</v>
      </c>
      <c r="F541" t="s">
        <v>26</v>
      </c>
      <c r="G541" s="1">
        <v>1</v>
      </c>
      <c r="H541" s="1">
        <v>1</v>
      </c>
      <c r="I541" s="1">
        <v>1</v>
      </c>
      <c r="J541" t="s">
        <v>44</v>
      </c>
      <c r="K541" s="1">
        <v>1</v>
      </c>
      <c r="L541" s="1">
        <v>1</v>
      </c>
      <c r="M541" s="1">
        <v>1</v>
      </c>
    </row>
    <row r="542" spans="1:13" x14ac:dyDescent="0.3">
      <c r="A542" t="s">
        <v>631</v>
      </c>
      <c r="B542" t="s">
        <v>225</v>
      </c>
      <c r="C542" t="s">
        <v>623</v>
      </c>
      <c r="D542" t="s">
        <v>626</v>
      </c>
      <c r="E542">
        <v>6</v>
      </c>
      <c r="F542" t="s">
        <v>28</v>
      </c>
      <c r="G542" s="1">
        <v>1</v>
      </c>
      <c r="H542" s="1">
        <v>1</v>
      </c>
      <c r="I542" s="1">
        <v>1</v>
      </c>
      <c r="J542" t="s">
        <v>44</v>
      </c>
      <c r="K542" s="1">
        <v>1</v>
      </c>
      <c r="L542" s="1">
        <v>1</v>
      </c>
      <c r="M542" s="1">
        <v>1</v>
      </c>
    </row>
    <row r="543" spans="1:13" x14ac:dyDescent="0.3">
      <c r="A543" t="s">
        <v>632</v>
      </c>
      <c r="B543" t="s">
        <v>225</v>
      </c>
      <c r="C543" t="s">
        <v>623</v>
      </c>
      <c r="D543" t="s">
        <v>626</v>
      </c>
      <c r="E543">
        <v>6</v>
      </c>
      <c r="F543" t="s">
        <v>30</v>
      </c>
      <c r="G543" s="1">
        <v>1</v>
      </c>
      <c r="H543" s="1">
        <v>1</v>
      </c>
      <c r="I543" s="1">
        <v>1</v>
      </c>
      <c r="J543" t="s">
        <v>44</v>
      </c>
      <c r="K543" s="1">
        <v>1</v>
      </c>
      <c r="L543" s="1">
        <v>1</v>
      </c>
      <c r="M543" s="1">
        <v>1</v>
      </c>
    </row>
    <row r="544" spans="1:13" x14ac:dyDescent="0.3">
      <c r="A544" t="s">
        <v>633</v>
      </c>
      <c r="B544" t="s">
        <v>225</v>
      </c>
      <c r="C544" t="s">
        <v>623</v>
      </c>
      <c r="D544" t="s">
        <v>626</v>
      </c>
      <c r="E544">
        <v>6</v>
      </c>
      <c r="F544" t="s">
        <v>32</v>
      </c>
      <c r="G544" s="1">
        <v>1</v>
      </c>
      <c r="H544" s="1">
        <v>1</v>
      </c>
      <c r="I544" s="1">
        <v>1</v>
      </c>
      <c r="J544" t="s">
        <v>44</v>
      </c>
      <c r="K544" s="1">
        <v>1</v>
      </c>
      <c r="L544" s="1">
        <v>1</v>
      </c>
      <c r="M544" s="1">
        <v>1</v>
      </c>
    </row>
    <row r="545" spans="1:13" x14ac:dyDescent="0.3">
      <c r="A545" t="s">
        <v>634</v>
      </c>
      <c r="B545" t="s">
        <v>225</v>
      </c>
      <c r="C545" t="s">
        <v>623</v>
      </c>
      <c r="D545" t="s">
        <v>626</v>
      </c>
      <c r="E545">
        <v>6</v>
      </c>
      <c r="F545" t="s">
        <v>34</v>
      </c>
      <c r="G545" s="1">
        <v>1</v>
      </c>
      <c r="H545" s="1">
        <v>1</v>
      </c>
      <c r="I545" s="1">
        <v>1</v>
      </c>
      <c r="J545" t="s">
        <v>44</v>
      </c>
      <c r="K545" s="1">
        <v>1</v>
      </c>
      <c r="L545" s="1">
        <v>1</v>
      </c>
      <c r="M545" s="1">
        <v>1</v>
      </c>
    </row>
    <row r="546" spans="1:13" x14ac:dyDescent="0.3">
      <c r="A546" t="s">
        <v>635</v>
      </c>
      <c r="B546" t="s">
        <v>225</v>
      </c>
      <c r="C546" t="s">
        <v>623</v>
      </c>
      <c r="D546" t="s">
        <v>626</v>
      </c>
      <c r="E546">
        <v>6</v>
      </c>
      <c r="F546" t="s">
        <v>36</v>
      </c>
      <c r="G546" s="1">
        <v>1</v>
      </c>
      <c r="H546" s="1">
        <v>1</v>
      </c>
      <c r="I546" s="1">
        <v>1</v>
      </c>
      <c r="J546" t="s">
        <v>44</v>
      </c>
      <c r="K546" s="1">
        <v>1</v>
      </c>
      <c r="L546" s="1">
        <v>1</v>
      </c>
      <c r="M546" s="1">
        <v>1</v>
      </c>
    </row>
    <row r="547" spans="1:13" x14ac:dyDescent="0.3">
      <c r="A547" t="s">
        <v>636</v>
      </c>
      <c r="B547" t="s">
        <v>225</v>
      </c>
      <c r="C547" t="s">
        <v>623</v>
      </c>
      <c r="D547" t="s">
        <v>626</v>
      </c>
      <c r="E547">
        <v>6</v>
      </c>
      <c r="F547" t="s">
        <v>38</v>
      </c>
      <c r="G547" s="1">
        <v>1</v>
      </c>
      <c r="H547" s="1">
        <v>1</v>
      </c>
      <c r="I547" s="1">
        <v>1</v>
      </c>
      <c r="J547" t="s">
        <v>44</v>
      </c>
      <c r="K547" s="1">
        <v>1</v>
      </c>
      <c r="L547" s="1">
        <v>1</v>
      </c>
      <c r="M547" s="1">
        <v>1</v>
      </c>
    </row>
    <row r="548" spans="1:13" x14ac:dyDescent="0.3">
      <c r="A548" t="s">
        <v>637</v>
      </c>
      <c r="B548" t="s">
        <v>225</v>
      </c>
      <c r="C548" t="s">
        <v>623</v>
      </c>
      <c r="D548" t="s">
        <v>626</v>
      </c>
      <c r="E548">
        <v>6</v>
      </c>
      <c r="F548" t="s">
        <v>40</v>
      </c>
      <c r="G548" s="1">
        <v>1</v>
      </c>
      <c r="H548" s="1">
        <v>1</v>
      </c>
      <c r="I548" s="1">
        <v>1</v>
      </c>
      <c r="J548" t="s">
        <v>44</v>
      </c>
      <c r="K548" s="1">
        <v>1</v>
      </c>
      <c r="L548" s="1">
        <v>1</v>
      </c>
      <c r="M548" s="1">
        <v>1</v>
      </c>
    </row>
    <row r="549" spans="1:13" x14ac:dyDescent="0.3">
      <c r="A549" t="s">
        <v>638</v>
      </c>
      <c r="B549" t="s">
        <v>225</v>
      </c>
      <c r="C549" t="s">
        <v>623</v>
      </c>
      <c r="D549" t="s">
        <v>626</v>
      </c>
      <c r="E549">
        <v>6</v>
      </c>
      <c r="F549" t="s">
        <v>64</v>
      </c>
      <c r="G549" s="1">
        <v>1</v>
      </c>
      <c r="H549" s="1">
        <v>1</v>
      </c>
      <c r="I549" s="1">
        <v>1</v>
      </c>
      <c r="J549" t="s">
        <v>44</v>
      </c>
      <c r="K549" s="1">
        <v>1</v>
      </c>
      <c r="L549" s="1">
        <v>1</v>
      </c>
      <c r="M549" s="1">
        <v>1</v>
      </c>
    </row>
    <row r="550" spans="1:13" x14ac:dyDescent="0.3">
      <c r="A550" t="s">
        <v>639</v>
      </c>
      <c r="B550" t="s">
        <v>225</v>
      </c>
      <c r="C550" t="s">
        <v>623</v>
      </c>
      <c r="D550" t="s">
        <v>626</v>
      </c>
      <c r="E550">
        <v>6</v>
      </c>
      <c r="F550" t="s">
        <v>66</v>
      </c>
      <c r="G550" s="1">
        <v>1</v>
      </c>
      <c r="H550" s="1">
        <v>1</v>
      </c>
      <c r="I550" s="1">
        <v>1</v>
      </c>
      <c r="J550" t="s">
        <v>44</v>
      </c>
      <c r="K550" s="1">
        <v>1</v>
      </c>
      <c r="L550" s="1">
        <v>1</v>
      </c>
      <c r="M550" s="1">
        <v>1</v>
      </c>
    </row>
    <row r="551" spans="1:13" x14ac:dyDescent="0.3">
      <c r="A551" t="s">
        <v>640</v>
      </c>
      <c r="B551" t="s">
        <v>225</v>
      </c>
      <c r="C551" t="s">
        <v>623</v>
      </c>
      <c r="D551" t="s">
        <v>626</v>
      </c>
      <c r="E551">
        <v>6</v>
      </c>
      <c r="F551" t="s">
        <v>68</v>
      </c>
      <c r="G551" s="1">
        <v>1</v>
      </c>
      <c r="H551" s="1">
        <v>1</v>
      </c>
      <c r="I551" s="1">
        <v>1</v>
      </c>
      <c r="J551" t="s">
        <v>44</v>
      </c>
      <c r="K551" s="1">
        <v>1</v>
      </c>
      <c r="L551" s="1">
        <v>1</v>
      </c>
      <c r="M551" s="1">
        <v>1</v>
      </c>
    </row>
    <row r="552" spans="1:13" x14ac:dyDescent="0.3">
      <c r="A552" t="s">
        <v>641</v>
      </c>
      <c r="B552" t="s">
        <v>225</v>
      </c>
      <c r="C552" t="s">
        <v>623</v>
      </c>
      <c r="D552" t="s">
        <v>626</v>
      </c>
      <c r="E552">
        <v>6</v>
      </c>
      <c r="F552" t="s">
        <v>70</v>
      </c>
      <c r="G552" s="1">
        <v>1</v>
      </c>
      <c r="H552" s="1">
        <v>1</v>
      </c>
      <c r="I552" s="1">
        <v>1</v>
      </c>
      <c r="J552" t="s">
        <v>44</v>
      </c>
      <c r="K552" s="1">
        <v>1</v>
      </c>
      <c r="L552" s="1">
        <v>1</v>
      </c>
      <c r="M552" s="1">
        <v>1</v>
      </c>
    </row>
    <row r="553" spans="1:13" x14ac:dyDescent="0.3">
      <c r="A553" t="s">
        <v>642</v>
      </c>
      <c r="B553" t="s">
        <v>225</v>
      </c>
      <c r="C553" t="s">
        <v>623</v>
      </c>
      <c r="D553" t="s">
        <v>626</v>
      </c>
      <c r="E553">
        <v>6</v>
      </c>
      <c r="F553" t="s">
        <v>72</v>
      </c>
      <c r="G553" s="1">
        <v>1</v>
      </c>
      <c r="H553" s="1">
        <v>1</v>
      </c>
      <c r="I553" s="1">
        <v>1</v>
      </c>
      <c r="J553" t="s">
        <v>44</v>
      </c>
      <c r="K553" s="1">
        <v>1</v>
      </c>
      <c r="L553" s="1">
        <v>1</v>
      </c>
      <c r="M553" s="1">
        <v>1</v>
      </c>
    </row>
    <row r="554" spans="1:13" x14ac:dyDescent="0.3">
      <c r="A554" t="s">
        <v>643</v>
      </c>
      <c r="B554" t="s">
        <v>225</v>
      </c>
      <c r="C554" t="s">
        <v>623</v>
      </c>
      <c r="D554" t="s">
        <v>626</v>
      </c>
      <c r="E554">
        <v>6</v>
      </c>
      <c r="F554" t="s">
        <v>74</v>
      </c>
      <c r="G554" s="1">
        <v>1</v>
      </c>
      <c r="H554" s="1">
        <v>1</v>
      </c>
      <c r="I554" s="1">
        <v>1</v>
      </c>
      <c r="J554" t="s">
        <v>44</v>
      </c>
      <c r="K554" s="1">
        <v>1</v>
      </c>
      <c r="L554" s="1">
        <v>1</v>
      </c>
      <c r="M554" s="1">
        <v>1</v>
      </c>
    </row>
    <row r="555" spans="1:13" x14ac:dyDescent="0.3">
      <c r="A555" t="s">
        <v>644</v>
      </c>
      <c r="B555" t="s">
        <v>225</v>
      </c>
      <c r="C555" t="s">
        <v>623</v>
      </c>
      <c r="D555" t="s">
        <v>626</v>
      </c>
      <c r="E555">
        <v>6</v>
      </c>
      <c r="F555" t="s">
        <v>76</v>
      </c>
      <c r="G555" s="1">
        <v>1</v>
      </c>
      <c r="H555" s="1">
        <v>1</v>
      </c>
      <c r="I555" s="1">
        <v>1</v>
      </c>
      <c r="J555" t="s">
        <v>44</v>
      </c>
      <c r="K555" s="1">
        <v>1</v>
      </c>
      <c r="L555" s="1">
        <v>1</v>
      </c>
      <c r="M555" s="1">
        <v>1</v>
      </c>
    </row>
    <row r="556" spans="1:13" x14ac:dyDescent="0.3">
      <c r="A556" t="s">
        <v>645</v>
      </c>
      <c r="B556" t="s">
        <v>225</v>
      </c>
      <c r="C556" t="s">
        <v>623</v>
      </c>
      <c r="D556" t="s">
        <v>626</v>
      </c>
      <c r="E556">
        <v>6</v>
      </c>
      <c r="F556" t="s">
        <v>78</v>
      </c>
      <c r="G556" s="1">
        <v>1</v>
      </c>
      <c r="H556" s="1">
        <v>1</v>
      </c>
      <c r="I556" s="1">
        <v>1</v>
      </c>
      <c r="J556" t="s">
        <v>44</v>
      </c>
      <c r="K556" s="1">
        <v>1</v>
      </c>
      <c r="L556" s="1">
        <v>1</v>
      </c>
      <c r="M556" s="1">
        <v>1</v>
      </c>
    </row>
    <row r="557" spans="1:13" x14ac:dyDescent="0.3">
      <c r="A557" t="s">
        <v>646</v>
      </c>
      <c r="B557" t="s">
        <v>225</v>
      </c>
      <c r="C557" t="s">
        <v>623</v>
      </c>
      <c r="D557" t="s">
        <v>626</v>
      </c>
      <c r="E557">
        <v>6</v>
      </c>
      <c r="F557" t="s">
        <v>80</v>
      </c>
      <c r="G557" s="1">
        <v>1</v>
      </c>
      <c r="H557" s="1">
        <v>1</v>
      </c>
      <c r="I557" s="1">
        <v>1</v>
      </c>
      <c r="J557" t="s">
        <v>44</v>
      </c>
      <c r="K557" s="1">
        <v>1</v>
      </c>
      <c r="L557" s="1">
        <v>1</v>
      </c>
      <c r="M557" s="1">
        <v>1</v>
      </c>
    </row>
    <row r="558" spans="1:13" x14ac:dyDescent="0.3">
      <c r="A558" t="s">
        <v>647</v>
      </c>
      <c r="B558" t="s">
        <v>225</v>
      </c>
      <c r="C558" t="s">
        <v>623</v>
      </c>
      <c r="D558" t="s">
        <v>626</v>
      </c>
      <c r="E558">
        <v>6</v>
      </c>
      <c r="F558" t="s">
        <v>82</v>
      </c>
      <c r="G558" s="1">
        <v>1</v>
      </c>
      <c r="H558" s="1">
        <v>1</v>
      </c>
      <c r="I558" s="1">
        <v>1</v>
      </c>
      <c r="J558" t="s">
        <v>44</v>
      </c>
      <c r="K558" s="1">
        <v>1</v>
      </c>
      <c r="L558" s="1">
        <v>1</v>
      </c>
      <c r="M558" s="1">
        <v>1</v>
      </c>
    </row>
    <row r="559" spans="1:13" x14ac:dyDescent="0.3">
      <c r="A559" t="s">
        <v>648</v>
      </c>
      <c r="B559" t="s">
        <v>225</v>
      </c>
      <c r="C559" t="s">
        <v>623</v>
      </c>
      <c r="D559" t="s">
        <v>626</v>
      </c>
      <c r="E559">
        <v>6</v>
      </c>
      <c r="F559" t="s">
        <v>84</v>
      </c>
      <c r="G559" s="1">
        <v>1</v>
      </c>
      <c r="H559" s="1">
        <v>1</v>
      </c>
      <c r="I559" s="1">
        <v>1</v>
      </c>
      <c r="J559" t="s">
        <v>44</v>
      </c>
      <c r="K559" s="1">
        <v>1</v>
      </c>
      <c r="L559" s="1">
        <v>1</v>
      </c>
      <c r="M559" s="1">
        <v>1</v>
      </c>
    </row>
    <row r="560" spans="1:13" x14ac:dyDescent="0.3">
      <c r="A560" t="s">
        <v>649</v>
      </c>
      <c r="B560" t="s">
        <v>225</v>
      </c>
      <c r="C560" t="s">
        <v>623</v>
      </c>
      <c r="D560" t="s">
        <v>626</v>
      </c>
      <c r="E560">
        <v>6</v>
      </c>
      <c r="F560" t="s">
        <v>181</v>
      </c>
      <c r="G560" s="1">
        <v>1</v>
      </c>
      <c r="H560" s="1">
        <v>1</v>
      </c>
      <c r="I560" s="1">
        <v>1</v>
      </c>
      <c r="J560" t="s">
        <v>44</v>
      </c>
      <c r="K560" s="1">
        <v>1</v>
      </c>
      <c r="L560" s="1">
        <v>1</v>
      </c>
      <c r="M560" s="1">
        <v>1</v>
      </c>
    </row>
    <row r="561" spans="1:13" x14ac:dyDescent="0.3">
      <c r="A561" t="s">
        <v>650</v>
      </c>
      <c r="B561" t="s">
        <v>225</v>
      </c>
      <c r="C561" t="s">
        <v>623</v>
      </c>
      <c r="D561" t="s">
        <v>626</v>
      </c>
      <c r="E561">
        <v>6</v>
      </c>
      <c r="F561" t="s">
        <v>183</v>
      </c>
      <c r="G561" s="1">
        <v>1</v>
      </c>
      <c r="H561" s="1">
        <v>1</v>
      </c>
      <c r="I561" s="1">
        <v>1</v>
      </c>
      <c r="J561" t="s">
        <v>44</v>
      </c>
      <c r="K561" s="1">
        <v>1</v>
      </c>
      <c r="L561" s="1">
        <v>1</v>
      </c>
      <c r="M561" s="1">
        <v>1</v>
      </c>
    </row>
    <row r="562" spans="1:13" x14ac:dyDescent="0.3">
      <c r="A562" t="s">
        <v>651</v>
      </c>
      <c r="B562" t="s">
        <v>225</v>
      </c>
      <c r="C562" t="s">
        <v>623</v>
      </c>
      <c r="D562" t="s">
        <v>626</v>
      </c>
      <c r="E562">
        <v>6</v>
      </c>
      <c r="F562" t="s">
        <v>185</v>
      </c>
      <c r="G562" s="1">
        <v>1</v>
      </c>
      <c r="H562" s="1">
        <v>1</v>
      </c>
      <c r="I562" s="1">
        <v>1</v>
      </c>
      <c r="J562" t="s">
        <v>44</v>
      </c>
      <c r="K562" s="1">
        <v>1</v>
      </c>
      <c r="L562" s="1">
        <v>1</v>
      </c>
      <c r="M562" s="1">
        <v>1</v>
      </c>
    </row>
    <row r="563" spans="1:13" x14ac:dyDescent="0.3">
      <c r="A563" t="s">
        <v>652</v>
      </c>
      <c r="B563" t="s">
        <v>225</v>
      </c>
      <c r="C563" t="s">
        <v>623</v>
      </c>
      <c r="D563" t="s">
        <v>626</v>
      </c>
      <c r="E563">
        <v>6</v>
      </c>
      <c r="F563" t="s">
        <v>187</v>
      </c>
      <c r="G563" s="1">
        <v>1</v>
      </c>
      <c r="H563" s="1">
        <v>1</v>
      </c>
      <c r="I563" s="1">
        <v>1</v>
      </c>
      <c r="J563" t="s">
        <v>44</v>
      </c>
      <c r="K563" s="1">
        <v>1</v>
      </c>
      <c r="L563" s="1">
        <v>1</v>
      </c>
      <c r="M563" s="1">
        <v>1</v>
      </c>
    </row>
    <row r="564" spans="1:13" x14ac:dyDescent="0.3">
      <c r="A564" t="s">
        <v>653</v>
      </c>
      <c r="B564" t="s">
        <v>225</v>
      </c>
      <c r="C564" t="s">
        <v>623</v>
      </c>
      <c r="D564" t="s">
        <v>626</v>
      </c>
      <c r="E564">
        <v>6</v>
      </c>
      <c r="F564" t="s">
        <v>189</v>
      </c>
      <c r="G564" s="1">
        <v>1</v>
      </c>
      <c r="H564" s="1">
        <v>1</v>
      </c>
      <c r="I564" s="1">
        <v>1</v>
      </c>
      <c r="J564" t="s">
        <v>44</v>
      </c>
      <c r="K564" s="1">
        <v>1</v>
      </c>
      <c r="L564" s="1">
        <v>1</v>
      </c>
      <c r="M564" s="1">
        <v>1</v>
      </c>
    </row>
    <row r="565" spans="1:13" x14ac:dyDescent="0.3">
      <c r="A565" t="s">
        <v>654</v>
      </c>
      <c r="B565" t="s">
        <v>225</v>
      </c>
      <c r="C565" t="s">
        <v>623</v>
      </c>
      <c r="D565" t="s">
        <v>626</v>
      </c>
      <c r="E565">
        <v>6</v>
      </c>
      <c r="F565" t="s">
        <v>191</v>
      </c>
      <c r="G565" s="1">
        <v>1</v>
      </c>
      <c r="H565" s="1">
        <v>1</v>
      </c>
      <c r="I565" s="1">
        <v>1</v>
      </c>
      <c r="J565" t="s">
        <v>44</v>
      </c>
      <c r="K565" s="1">
        <v>1</v>
      </c>
      <c r="L565" s="1">
        <v>1</v>
      </c>
      <c r="M565" s="1">
        <v>1</v>
      </c>
    </row>
    <row r="566" spans="1:13" x14ac:dyDescent="0.3">
      <c r="A566" t="s">
        <v>655</v>
      </c>
      <c r="B566" t="s">
        <v>225</v>
      </c>
      <c r="C566" t="s">
        <v>623</v>
      </c>
      <c r="D566" t="s">
        <v>626</v>
      </c>
      <c r="E566">
        <v>6</v>
      </c>
      <c r="F566" t="s">
        <v>193</v>
      </c>
      <c r="G566" s="1">
        <v>1</v>
      </c>
      <c r="H566" s="1">
        <v>1</v>
      </c>
      <c r="I566" s="1">
        <v>1</v>
      </c>
      <c r="J566" t="s">
        <v>44</v>
      </c>
      <c r="K566" s="1">
        <v>1</v>
      </c>
      <c r="L566" s="1">
        <v>1</v>
      </c>
      <c r="M566" s="1">
        <v>1</v>
      </c>
    </row>
    <row r="567" spans="1:13" x14ac:dyDescent="0.3">
      <c r="A567" t="s">
        <v>656</v>
      </c>
      <c r="B567" t="s">
        <v>225</v>
      </c>
      <c r="C567" t="s">
        <v>623</v>
      </c>
      <c r="D567" t="s">
        <v>626</v>
      </c>
      <c r="E567">
        <v>6</v>
      </c>
      <c r="F567" t="s">
        <v>195</v>
      </c>
      <c r="G567" s="1">
        <v>1</v>
      </c>
      <c r="H567" s="1">
        <v>1</v>
      </c>
      <c r="I567" s="1">
        <v>1</v>
      </c>
      <c r="J567" t="s">
        <v>44</v>
      </c>
      <c r="K567" s="1">
        <v>1</v>
      </c>
      <c r="L567" s="1">
        <v>1</v>
      </c>
      <c r="M567" s="1">
        <v>1</v>
      </c>
    </row>
    <row r="568" spans="1:13" x14ac:dyDescent="0.3">
      <c r="A568" t="s">
        <v>657</v>
      </c>
      <c r="B568" t="s">
        <v>225</v>
      </c>
      <c r="C568" t="s">
        <v>623</v>
      </c>
      <c r="D568" t="s">
        <v>626</v>
      </c>
      <c r="E568">
        <v>6</v>
      </c>
      <c r="F568" t="s">
        <v>197</v>
      </c>
      <c r="G568" s="1">
        <v>1</v>
      </c>
      <c r="H568" s="1">
        <v>1</v>
      </c>
      <c r="I568" s="1">
        <v>1</v>
      </c>
      <c r="J568" t="s">
        <v>44</v>
      </c>
      <c r="K568" s="1">
        <v>1</v>
      </c>
      <c r="L568" s="1">
        <v>1</v>
      </c>
      <c r="M568" s="1">
        <v>1</v>
      </c>
    </row>
    <row r="569" spans="1:13" x14ac:dyDescent="0.3">
      <c r="A569" t="s">
        <v>658</v>
      </c>
      <c r="B569" t="s">
        <v>225</v>
      </c>
      <c r="C569" t="s">
        <v>623</v>
      </c>
      <c r="D569" t="s">
        <v>626</v>
      </c>
      <c r="E569">
        <v>6</v>
      </c>
      <c r="F569" t="s">
        <v>199</v>
      </c>
      <c r="G569" s="1">
        <v>1</v>
      </c>
      <c r="H569" s="1">
        <v>1</v>
      </c>
      <c r="I569" s="1">
        <v>1</v>
      </c>
      <c r="J569" t="s">
        <v>44</v>
      </c>
      <c r="K569" s="1">
        <v>1</v>
      </c>
      <c r="L569" s="1">
        <v>1</v>
      </c>
      <c r="M569" s="1">
        <v>1</v>
      </c>
    </row>
    <row r="570" spans="1:13" x14ac:dyDescent="0.3">
      <c r="A570" t="s">
        <v>659</v>
      </c>
      <c r="B570" t="s">
        <v>225</v>
      </c>
      <c r="C570" t="s">
        <v>623</v>
      </c>
      <c r="D570" t="s">
        <v>626</v>
      </c>
      <c r="E570">
        <v>6</v>
      </c>
      <c r="F570" t="s">
        <v>201</v>
      </c>
      <c r="G570" s="1">
        <v>1</v>
      </c>
      <c r="H570" s="1">
        <v>1</v>
      </c>
      <c r="I570" s="1">
        <v>1</v>
      </c>
      <c r="J570" t="s">
        <v>44</v>
      </c>
      <c r="K570" s="1">
        <v>1</v>
      </c>
      <c r="L570" s="1">
        <v>1</v>
      </c>
      <c r="M570" s="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2808-36AC-4B94-AF8D-8FC5F66DA0C7}">
  <dimension ref="A1:G7"/>
  <sheetViews>
    <sheetView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7" bestFit="1" customWidth="1"/>
    <col min="4" max="4" width="20" bestFit="1" customWidth="1"/>
    <col min="5" max="5" width="15.6640625" bestFit="1" customWidth="1"/>
    <col min="6" max="6" width="17" bestFit="1" customWidth="1"/>
    <col min="7" max="7" width="20" bestFit="1" customWidth="1"/>
  </cols>
  <sheetData>
    <row r="1" spans="1:7" x14ac:dyDescent="0.3">
      <c r="A1" s="2" t="s">
        <v>1</v>
      </c>
      <c r="B1" t="s">
        <v>14</v>
      </c>
    </row>
    <row r="2" spans="1:7" x14ac:dyDescent="0.3">
      <c r="A2" s="2" t="s">
        <v>9</v>
      </c>
      <c r="B2" t="s">
        <v>44</v>
      </c>
    </row>
    <row r="4" spans="1:7" x14ac:dyDescent="0.3">
      <c r="A4" s="2" t="s">
        <v>661</v>
      </c>
      <c r="B4" t="s">
        <v>663</v>
      </c>
      <c r="C4" t="s">
        <v>664</v>
      </c>
      <c r="D4" t="s">
        <v>665</v>
      </c>
      <c r="E4" t="s">
        <v>666</v>
      </c>
      <c r="F4" t="s">
        <v>667</v>
      </c>
      <c r="G4" t="s">
        <v>668</v>
      </c>
    </row>
    <row r="5" spans="1:7" x14ac:dyDescent="0.3">
      <c r="A5" s="3" t="s">
        <v>42</v>
      </c>
      <c r="B5" s="6">
        <v>34</v>
      </c>
      <c r="C5" s="6">
        <v>34</v>
      </c>
      <c r="D5" s="6">
        <v>29</v>
      </c>
      <c r="E5" s="6">
        <v>41</v>
      </c>
      <c r="F5" s="6">
        <v>53</v>
      </c>
      <c r="G5" s="6">
        <v>41</v>
      </c>
    </row>
    <row r="6" spans="1:7" x14ac:dyDescent="0.3">
      <c r="A6" s="4">
        <v>4</v>
      </c>
      <c r="B6" s="6">
        <v>34</v>
      </c>
      <c r="C6" s="6">
        <v>34</v>
      </c>
      <c r="D6" s="6">
        <v>29</v>
      </c>
      <c r="E6" s="6">
        <v>41</v>
      </c>
      <c r="F6" s="6">
        <v>53</v>
      </c>
      <c r="G6" s="6">
        <v>41</v>
      </c>
    </row>
    <row r="7" spans="1:7" x14ac:dyDescent="0.3">
      <c r="A7" s="3" t="s">
        <v>662</v>
      </c>
      <c r="B7" s="6">
        <v>34</v>
      </c>
      <c r="C7" s="6">
        <v>34</v>
      </c>
      <c r="D7" s="6">
        <v>29</v>
      </c>
      <c r="E7" s="6">
        <v>41</v>
      </c>
      <c r="F7" s="6">
        <v>53</v>
      </c>
      <c r="G7" s="6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2DFB-E359-47D8-8CA7-A461E9088E53}">
  <dimension ref="A1:H12"/>
  <sheetViews>
    <sheetView workbookViewId="0">
      <selection activeCell="G12" sqref="G12:H12"/>
    </sheetView>
  </sheetViews>
  <sheetFormatPr defaultRowHeight="14.4" x14ac:dyDescent="0.3"/>
  <cols>
    <col min="4" max="4" width="11.109375" bestFit="1" customWidth="1"/>
    <col min="5" max="6" width="13.109375" bestFit="1" customWidth="1"/>
    <col min="7" max="8" width="15.5546875" bestFit="1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660</v>
      </c>
      <c r="E1" t="s">
        <v>669</v>
      </c>
      <c r="F1" t="s">
        <v>670</v>
      </c>
      <c r="G1" t="s">
        <v>671</v>
      </c>
      <c r="H1" t="s">
        <v>672</v>
      </c>
    </row>
    <row r="2" spans="1:8" x14ac:dyDescent="0.3">
      <c r="A2" t="s">
        <v>225</v>
      </c>
      <c r="B2" t="s">
        <v>226</v>
      </c>
      <c r="C2">
        <v>2</v>
      </c>
      <c r="D2">
        <f>COUNTIFS(column_progress!B:B,$A2, column_progress!C:C,$B2, column_progress!E:E,TRIM($C2))</f>
        <v>68</v>
      </c>
      <c r="E2" s="7">
        <f>AVERAGE(pivot!B6:D6)</f>
        <v>32.333333333333336</v>
      </c>
      <c r="F2" s="7">
        <f>AVERAGE(pivot!E6:G6)</f>
        <v>45</v>
      </c>
      <c r="G2" s="8">
        <f>E2/D2</f>
        <v>0.4754901960784314</v>
      </c>
      <c r="H2" s="8">
        <f>F2/D2</f>
        <v>0.66176470588235292</v>
      </c>
    </row>
    <row r="3" spans="1:8" x14ac:dyDescent="0.3">
      <c r="A3" t="s">
        <v>225</v>
      </c>
      <c r="B3" t="s">
        <v>226</v>
      </c>
      <c r="C3">
        <v>5</v>
      </c>
      <c r="D3">
        <f>COUNTIFS(column_progress!B:B,$A3, column_progress!C:C,$B3, column_progress!E:E,TRIM($C3))</f>
        <v>24</v>
      </c>
      <c r="E3" s="7">
        <v>24</v>
      </c>
      <c r="F3" s="7">
        <v>24</v>
      </c>
      <c r="G3" s="8">
        <f t="shared" ref="G3:H8" si="0">E3/D3</f>
        <v>1</v>
      </c>
      <c r="H3" s="8">
        <f t="shared" ref="H3:H8" si="1">F3/D3</f>
        <v>1</v>
      </c>
    </row>
    <row r="4" spans="1:8" x14ac:dyDescent="0.3">
      <c r="A4" t="s">
        <v>225</v>
      </c>
      <c r="B4" t="s">
        <v>623</v>
      </c>
      <c r="C4">
        <v>6</v>
      </c>
      <c r="D4">
        <f>COUNTIFS(column_progress!B:B,$A4, column_progress!C:C,$B4, column_progress!E:E,TRIM($C4))</f>
        <v>35</v>
      </c>
      <c r="E4" s="7">
        <v>35</v>
      </c>
      <c r="F4" s="7">
        <v>35</v>
      </c>
      <c r="G4" s="8">
        <f t="shared" si="0"/>
        <v>1</v>
      </c>
      <c r="H4" s="8">
        <f t="shared" si="1"/>
        <v>1</v>
      </c>
    </row>
    <row r="5" spans="1:8" x14ac:dyDescent="0.3">
      <c r="A5" t="s">
        <v>225</v>
      </c>
      <c r="B5" t="s">
        <v>325</v>
      </c>
      <c r="C5">
        <v>6</v>
      </c>
      <c r="D5">
        <f>COUNTIFS(column_progress!B:B,$A5, column_progress!C:C,$B5, column_progress!E:E,TRIM($C5))</f>
        <v>117</v>
      </c>
      <c r="E5" s="7">
        <f>AVERAGE(pivot!B6:D6)</f>
        <v>32.333333333333336</v>
      </c>
      <c r="F5" s="7">
        <f>AVERAGE(pivot!E6:G6)</f>
        <v>45</v>
      </c>
      <c r="G5" s="8">
        <f t="shared" si="0"/>
        <v>0.27635327635327639</v>
      </c>
      <c r="H5" s="8">
        <f t="shared" si="1"/>
        <v>0.38461538461538464</v>
      </c>
    </row>
    <row r="6" spans="1:8" x14ac:dyDescent="0.3">
      <c r="A6" t="s">
        <v>14</v>
      </c>
      <c r="B6" t="s">
        <v>226</v>
      </c>
      <c r="C6">
        <v>2</v>
      </c>
      <c r="D6">
        <v>14</v>
      </c>
      <c r="E6" s="7">
        <v>14</v>
      </c>
      <c r="F6" s="7">
        <v>14</v>
      </c>
      <c r="G6" s="8">
        <f t="shared" si="0"/>
        <v>1</v>
      </c>
      <c r="H6" s="8">
        <f t="shared" si="1"/>
        <v>1</v>
      </c>
    </row>
    <row r="7" spans="1:8" x14ac:dyDescent="0.3">
      <c r="A7" t="s">
        <v>14</v>
      </c>
      <c r="B7" t="s">
        <v>226</v>
      </c>
      <c r="C7">
        <v>4</v>
      </c>
      <c r="D7">
        <v>10</v>
      </c>
      <c r="E7" s="7">
        <v>10</v>
      </c>
      <c r="F7" s="7">
        <v>10</v>
      </c>
      <c r="G7" s="8">
        <f t="shared" si="0"/>
        <v>1</v>
      </c>
      <c r="H7" s="8">
        <f t="shared" si="1"/>
        <v>1</v>
      </c>
    </row>
    <row r="8" spans="1:8" x14ac:dyDescent="0.3">
      <c r="A8" t="s">
        <v>14</v>
      </c>
      <c r="B8" t="s">
        <v>42</v>
      </c>
      <c r="C8">
        <v>4</v>
      </c>
      <c r="D8">
        <f>COUNTIFS(column_progress!B:B,$A8, column_progress!C:C,$B8, column_progress!E:E,TRIM($C8))</f>
        <v>53</v>
      </c>
      <c r="E8" s="7">
        <f>AVERAGE(pivot!B6:D6)</f>
        <v>32.333333333333336</v>
      </c>
      <c r="F8" s="7">
        <f>AVERAGE(pivot!E6:G6)</f>
        <v>45</v>
      </c>
      <c r="G8" s="8">
        <f t="shared" si="0"/>
        <v>0.61006289308176109</v>
      </c>
      <c r="H8" s="8">
        <f t="shared" si="1"/>
        <v>0.84905660377358494</v>
      </c>
    </row>
    <row r="10" spans="1:8" x14ac:dyDescent="0.3">
      <c r="D10">
        <f>D6+D2</f>
        <v>82</v>
      </c>
      <c r="E10" s="8">
        <f>E2+E6</f>
        <v>46.333333333333336</v>
      </c>
      <c r="F10" s="8">
        <f t="shared" ref="F10:H10" si="2">F2+F6</f>
        <v>59</v>
      </c>
      <c r="G10" s="8">
        <f t="shared" si="2"/>
        <v>1.4754901960784315</v>
      </c>
      <c r="H10" s="8">
        <f t="shared" si="2"/>
        <v>1.6617647058823528</v>
      </c>
    </row>
    <row r="11" spans="1:8" x14ac:dyDescent="0.3">
      <c r="D11">
        <f>D7+D8</f>
        <v>63</v>
      </c>
      <c r="E11">
        <f t="shared" ref="E11:F11" si="3">E7+E8</f>
        <v>42.333333333333336</v>
      </c>
      <c r="F11">
        <f t="shared" si="3"/>
        <v>55</v>
      </c>
    </row>
    <row r="12" spans="1:8" x14ac:dyDescent="0.3">
      <c r="D12">
        <f>D4+D5</f>
        <v>152</v>
      </c>
      <c r="E12">
        <f t="shared" ref="E12:H12" si="4">E4+E5</f>
        <v>67.333333333333343</v>
      </c>
      <c r="F12">
        <f t="shared" si="4"/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6C91-631F-4F23-929A-AADAC6F7020E}">
  <dimension ref="A3:F8"/>
  <sheetViews>
    <sheetView workbookViewId="0">
      <selection activeCell="A12" sqref="A12:F16"/>
    </sheetView>
  </sheetViews>
  <sheetFormatPr defaultRowHeight="14.4" x14ac:dyDescent="0.3"/>
  <cols>
    <col min="1" max="1" width="12.5546875" bestFit="1" customWidth="1"/>
    <col min="2" max="2" width="18.21875" bestFit="1" customWidth="1"/>
    <col min="3" max="4" width="20" bestFit="1" customWidth="1"/>
    <col min="5" max="6" width="15.88671875" bestFit="1" customWidth="1"/>
  </cols>
  <sheetData>
    <row r="3" spans="1:6" x14ac:dyDescent="0.3">
      <c r="A3" s="2" t="s">
        <v>661</v>
      </c>
      <c r="B3" t="s">
        <v>673</v>
      </c>
      <c r="C3" t="s">
        <v>674</v>
      </c>
      <c r="D3" t="s">
        <v>675</v>
      </c>
      <c r="E3" s="5" t="s">
        <v>671</v>
      </c>
      <c r="F3" s="5" t="s">
        <v>672</v>
      </c>
    </row>
    <row r="4" spans="1:6" x14ac:dyDescent="0.3">
      <c r="A4" s="3">
        <v>2</v>
      </c>
      <c r="B4" s="6">
        <v>82</v>
      </c>
      <c r="C4" s="8">
        <v>67.666666666666657</v>
      </c>
      <c r="D4" s="8">
        <v>75.666666666666657</v>
      </c>
      <c r="E4" s="8">
        <f>C4/B4*100</f>
        <v>82.520325203252014</v>
      </c>
      <c r="F4" s="8">
        <f>D4/B4*100</f>
        <v>92.276422764227632</v>
      </c>
    </row>
    <row r="5" spans="1:6" x14ac:dyDescent="0.3">
      <c r="A5" s="3">
        <v>4</v>
      </c>
      <c r="B5" s="6">
        <v>63</v>
      </c>
      <c r="C5" s="8">
        <v>63.666666666666664</v>
      </c>
      <c r="D5" s="8">
        <v>71.666666666666657</v>
      </c>
      <c r="E5" s="8">
        <f>C5/B5*100</f>
        <v>101.05820105820105</v>
      </c>
      <c r="F5" s="8">
        <f>D5/B5*100</f>
        <v>113.75661375661375</v>
      </c>
    </row>
    <row r="6" spans="1:6" x14ac:dyDescent="0.3">
      <c r="A6" s="3">
        <v>5</v>
      </c>
      <c r="B6" s="6">
        <v>24</v>
      </c>
      <c r="C6" s="8">
        <v>24</v>
      </c>
      <c r="D6" s="8">
        <v>24</v>
      </c>
      <c r="E6" s="8">
        <f>C6/B6*100</f>
        <v>100</v>
      </c>
      <c r="F6" s="8">
        <f>D6/B6*100</f>
        <v>100</v>
      </c>
    </row>
    <row r="7" spans="1:6" x14ac:dyDescent="0.3">
      <c r="A7" s="3">
        <v>6</v>
      </c>
      <c r="B7" s="6">
        <v>152</v>
      </c>
      <c r="C7" s="8">
        <v>98</v>
      </c>
      <c r="D7" s="8">
        <v>100.66666666666667</v>
      </c>
      <c r="E7" s="8">
        <f>C7/B7*100</f>
        <v>64.473684210526315</v>
      </c>
      <c r="F7" s="8">
        <f>D7/B7*100</f>
        <v>66.228070175438603</v>
      </c>
    </row>
    <row r="8" spans="1:6" x14ac:dyDescent="0.3">
      <c r="A8" s="3" t="s">
        <v>662</v>
      </c>
      <c r="B8" s="6">
        <v>321</v>
      </c>
      <c r="C8" s="8">
        <v>253.33333333333331</v>
      </c>
      <c r="D8" s="8">
        <v>272</v>
      </c>
      <c r="E8" s="9"/>
      <c r="F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6A7-3477-4981-83A1-15EFD1DD0F1C}">
  <dimension ref="A1:F5"/>
  <sheetViews>
    <sheetView tabSelected="1" workbookViewId="0">
      <selection activeCell="D11" sqref="D11"/>
    </sheetView>
  </sheetViews>
  <sheetFormatPr defaultRowHeight="14.4" x14ac:dyDescent="0.3"/>
  <cols>
    <col min="1" max="1" width="7" customWidth="1"/>
    <col min="2" max="2" width="13.44140625" customWidth="1"/>
    <col min="3" max="4" width="15.21875" customWidth="1"/>
    <col min="5" max="6" width="17.6640625" customWidth="1"/>
  </cols>
  <sheetData>
    <row r="1" spans="1:6" x14ac:dyDescent="0.3">
      <c r="A1" t="s">
        <v>4</v>
      </c>
      <c r="B1" t="s">
        <v>660</v>
      </c>
      <c r="C1" t="s">
        <v>669</v>
      </c>
      <c r="D1" t="s">
        <v>670</v>
      </c>
      <c r="E1" t="s">
        <v>671</v>
      </c>
      <c r="F1" t="s">
        <v>672</v>
      </c>
    </row>
    <row r="2" spans="1:6" x14ac:dyDescent="0.3">
      <c r="A2">
        <v>2</v>
      </c>
      <c r="B2">
        <v>82</v>
      </c>
      <c r="C2">
        <v>46.33</v>
      </c>
      <c r="D2">
        <v>59</v>
      </c>
      <c r="E2" s="7">
        <f>C2/B2*100</f>
        <v>56.499999999999993</v>
      </c>
      <c r="F2" s="7">
        <f>D2/B2*100</f>
        <v>71.951219512195124</v>
      </c>
    </row>
    <row r="3" spans="1:6" x14ac:dyDescent="0.3">
      <c r="A3">
        <v>4</v>
      </c>
      <c r="B3">
        <v>63</v>
      </c>
      <c r="C3">
        <v>42.33</v>
      </c>
      <c r="D3">
        <v>55</v>
      </c>
      <c r="E3" s="7">
        <f>C3/B3*100</f>
        <v>67.19047619047619</v>
      </c>
      <c r="F3" s="7">
        <f>D3/B3*100</f>
        <v>87.301587301587304</v>
      </c>
    </row>
    <row r="4" spans="1:6" x14ac:dyDescent="0.3">
      <c r="A4">
        <v>5</v>
      </c>
      <c r="B4">
        <v>24</v>
      </c>
      <c r="C4" s="7">
        <v>24</v>
      </c>
      <c r="D4">
        <v>24</v>
      </c>
      <c r="E4" s="7">
        <f>C4/B4*100</f>
        <v>100</v>
      </c>
      <c r="F4" s="7">
        <f>D4/B4*100</f>
        <v>100</v>
      </c>
    </row>
    <row r="5" spans="1:6" x14ac:dyDescent="0.3">
      <c r="A5">
        <v>6</v>
      </c>
      <c r="B5">
        <v>152</v>
      </c>
      <c r="C5" s="7">
        <v>67.33</v>
      </c>
      <c r="D5">
        <v>80</v>
      </c>
      <c r="E5" s="7">
        <f>C5/B5*100</f>
        <v>44.296052631578945</v>
      </c>
      <c r="F5" s="7">
        <f>D5/B5*100</f>
        <v>52.631578947368418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column_progress</vt:lpstr>
      <vt:lpstr>pivot</vt:lpstr>
      <vt:lpstr>Column_Summary</vt:lpstr>
      <vt:lpstr>Pivot_SOW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Jainal Abidin Bosiran</dc:creator>
  <cp:lastModifiedBy>Jainal Abidin Bosiran</cp:lastModifiedBy>
  <dcterms:created xsi:type="dcterms:W3CDTF">2025-11-27T02:05:06Z</dcterms:created>
  <dcterms:modified xsi:type="dcterms:W3CDTF">2025-11-27T03:55:32Z</dcterms:modified>
</cp:coreProperties>
</file>