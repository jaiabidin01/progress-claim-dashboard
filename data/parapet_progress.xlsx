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na\SMD\HTML Progress Claim\data\"/>
    </mc:Choice>
  </mc:AlternateContent>
  <xr:revisionPtr revIDLastSave="0" documentId="13_ncr:9_{BD900BA3-07FF-4703-9B82-27B9F895D99B}" xr6:coauthVersionLast="47" xr6:coauthVersionMax="47" xr10:uidLastSave="{00000000-0000-0000-0000-000000000000}"/>
  <bookViews>
    <workbookView xWindow="-108" yWindow="-108" windowWidth="23256" windowHeight="12456" activeTab="1" xr2:uid="{98DF60A4-6CFE-4248-8954-05F23BC078DA}"/>
  </bookViews>
  <sheets>
    <sheet name="parapet_progress" sheetId="1" r:id="rId1"/>
    <sheet name="parapet_bylevel" sheetId="2" r:id="rId2"/>
  </sheets>
  <calcPr calcId="0"/>
</workbook>
</file>

<file path=xl/calcChain.xml><?xml version="1.0" encoding="utf-8"?>
<calcChain xmlns="http://schemas.openxmlformats.org/spreadsheetml/2006/main">
  <c r="F8" i="2" l="1"/>
  <c r="F5" i="2"/>
  <c r="F9" i="2"/>
  <c r="E8" i="2"/>
  <c r="E5" i="2"/>
  <c r="F4" i="2"/>
  <c r="F3" i="2"/>
  <c r="F6" i="2"/>
  <c r="E6" i="2"/>
  <c r="E4" i="2"/>
  <c r="E3" i="2"/>
  <c r="E2" i="2"/>
  <c r="F2" i="2"/>
</calcChain>
</file>

<file path=xl/sharedStrings.xml><?xml version="1.0" encoding="utf-8"?>
<sst xmlns="http://schemas.openxmlformats.org/spreadsheetml/2006/main" count="97" uniqueCount="28">
  <si>
    <t>tower</t>
  </si>
  <si>
    <t>level</t>
  </si>
  <si>
    <t>zone</t>
  </si>
  <si>
    <t>segment</t>
  </si>
  <si>
    <t>length_m</t>
  </si>
  <si>
    <t>rebar_pc13</t>
  </si>
  <si>
    <t>fwk_pc13</t>
  </si>
  <si>
    <t>concrete_pc13</t>
  </si>
  <si>
    <t>rebar_pc14</t>
  </si>
  <si>
    <t>fwk_pc14</t>
  </si>
  <si>
    <t>concrete_pc14</t>
  </si>
  <si>
    <t>T3</t>
  </si>
  <si>
    <t>L3</t>
  </si>
  <si>
    <t>Z10</t>
  </si>
  <si>
    <t>S1</t>
  </si>
  <si>
    <t>S2</t>
  </si>
  <si>
    <t>Z12</t>
  </si>
  <si>
    <t>Z11</t>
  </si>
  <si>
    <t>S3</t>
  </si>
  <si>
    <t>Z14</t>
  </si>
  <si>
    <t>L4</t>
  </si>
  <si>
    <t>Z16</t>
  </si>
  <si>
    <t>Z17</t>
  </si>
  <si>
    <t>Z15</t>
  </si>
  <si>
    <t>Z19</t>
  </si>
  <si>
    <t>%_progress_PC13</t>
  </si>
  <si>
    <t>%_progress_PC14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</si>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</sst>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1AE1-69E1-4575-92B9-DE0AFA2599A6}">
  <dimension ref="A1:K15"/>
  <sheetViews>
    <sheetView workbookViewId="0">
      <selection activeCell="N15" sqref="N15"/>
    </sheetView>
  </sheetViews>
  <sheetFormatPr defaultRowHeight="14.4" x14ac:dyDescent="0.3"/>
  <cols>
    <col min="1" max="1" width="5.88671875" bestFit="1" customWidth="1"/>
    <col min="2" max="2" width="4.77734375" bestFit="1" customWidth="1"/>
    <col min="3" max="3" width="4.88671875" bestFit="1" customWidth="1"/>
    <col min="4" max="4" width="7.88671875" bestFit="1" customWidth="1"/>
    <col min="5" max="5" width="8.5546875" bestFit="1" customWidth="1"/>
    <col min="6" max="6" width="10.21875" bestFit="1" customWidth="1"/>
    <col min="8" max="8" width="13.21875" bestFit="1" customWidth="1"/>
    <col min="9" max="9" width="10.21875" bestFit="1" customWidth="1"/>
    <col min="11" max="11" width="13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26.585999999999999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 spans="1:11" x14ac:dyDescent="0.3">
      <c r="A3" t="s">
        <v>11</v>
      </c>
      <c r="B3" t="s">
        <v>12</v>
      </c>
      <c r="C3" t="s">
        <v>13</v>
      </c>
      <c r="D3" t="s">
        <v>15</v>
      </c>
      <c r="E3">
        <v>22.556999999999999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0</v>
      </c>
    </row>
    <row r="4" spans="1:11" x14ac:dyDescent="0.3">
      <c r="A4" t="s">
        <v>11</v>
      </c>
      <c r="B4" t="s">
        <v>12</v>
      </c>
      <c r="C4" t="s">
        <v>16</v>
      </c>
      <c r="D4" t="s">
        <v>14</v>
      </c>
      <c r="E4">
        <v>17.646000000000001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</row>
    <row r="5" spans="1:11" x14ac:dyDescent="0.3">
      <c r="A5" t="s">
        <v>11</v>
      </c>
      <c r="B5" t="s">
        <v>12</v>
      </c>
      <c r="C5" t="s">
        <v>17</v>
      </c>
      <c r="D5" t="s">
        <v>14</v>
      </c>
      <c r="E5">
        <v>7.4740000000000002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</row>
    <row r="6" spans="1:11" x14ac:dyDescent="0.3">
      <c r="A6" t="s">
        <v>11</v>
      </c>
      <c r="B6" t="s">
        <v>12</v>
      </c>
      <c r="C6" t="s">
        <v>17</v>
      </c>
      <c r="D6" t="s">
        <v>15</v>
      </c>
      <c r="E6">
        <v>22.925999999999998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1:11" x14ac:dyDescent="0.3">
      <c r="A7" t="s">
        <v>11</v>
      </c>
      <c r="B7" t="s">
        <v>12</v>
      </c>
      <c r="C7" t="s">
        <v>17</v>
      </c>
      <c r="D7" t="s">
        <v>18</v>
      </c>
      <c r="E7">
        <v>3.0630000000000002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</row>
    <row r="8" spans="1:11" x14ac:dyDescent="0.3">
      <c r="A8" t="s">
        <v>11</v>
      </c>
      <c r="B8" t="s">
        <v>12</v>
      </c>
      <c r="C8" t="s">
        <v>19</v>
      </c>
      <c r="D8" t="s">
        <v>14</v>
      </c>
      <c r="E8">
        <v>39.078000000000003</v>
      </c>
      <c r="F8" s="1">
        <v>1</v>
      </c>
      <c r="G8" s="1">
        <v>0</v>
      </c>
      <c r="H8" s="1">
        <v>0</v>
      </c>
      <c r="I8" s="1">
        <v>1</v>
      </c>
      <c r="J8" s="1">
        <v>1</v>
      </c>
      <c r="K8" s="1">
        <v>0</v>
      </c>
    </row>
    <row r="9" spans="1:11" x14ac:dyDescent="0.3">
      <c r="A9" t="s">
        <v>11</v>
      </c>
      <c r="B9" t="s">
        <v>20</v>
      </c>
      <c r="C9" t="s">
        <v>21</v>
      </c>
      <c r="D9" t="s">
        <v>14</v>
      </c>
      <c r="E9">
        <v>49.640999999999998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</row>
    <row r="10" spans="1:11" x14ac:dyDescent="0.3">
      <c r="A10" t="s">
        <v>11</v>
      </c>
      <c r="B10" t="s">
        <v>20</v>
      </c>
      <c r="C10" t="s">
        <v>21</v>
      </c>
      <c r="D10" t="s">
        <v>15</v>
      </c>
      <c r="E10">
        <v>22.925999999999998</v>
      </c>
      <c r="F10" s="1">
        <v>1</v>
      </c>
      <c r="G10" s="1">
        <v>0</v>
      </c>
      <c r="H10" s="1">
        <v>0</v>
      </c>
      <c r="I10" s="1">
        <v>1</v>
      </c>
      <c r="J10" s="1">
        <v>1</v>
      </c>
      <c r="K10" s="1">
        <v>1</v>
      </c>
    </row>
    <row r="11" spans="1:11" x14ac:dyDescent="0.3">
      <c r="A11" t="s">
        <v>11</v>
      </c>
      <c r="B11" t="s">
        <v>20</v>
      </c>
      <c r="C11" t="s">
        <v>21</v>
      </c>
      <c r="D11" t="s">
        <v>18</v>
      </c>
      <c r="E11">
        <v>3.0630000000000002</v>
      </c>
      <c r="F11" s="1">
        <v>1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</row>
    <row r="12" spans="1:11" x14ac:dyDescent="0.3">
      <c r="A12" t="s">
        <v>11</v>
      </c>
      <c r="B12" t="s">
        <v>20</v>
      </c>
      <c r="C12" t="s">
        <v>22</v>
      </c>
      <c r="D12" t="s">
        <v>14</v>
      </c>
      <c r="E12">
        <v>17.754000000000001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3">
      <c r="A13" t="s">
        <v>11</v>
      </c>
      <c r="B13" t="s">
        <v>20</v>
      </c>
      <c r="C13" t="s">
        <v>23</v>
      </c>
      <c r="D13" t="s">
        <v>14</v>
      </c>
      <c r="E13">
        <v>48.908000000000001</v>
      </c>
      <c r="F13" s="1">
        <v>1</v>
      </c>
      <c r="G13" s="1">
        <v>0</v>
      </c>
      <c r="H13" s="1">
        <v>0</v>
      </c>
      <c r="I13" s="1">
        <v>1</v>
      </c>
      <c r="J13" s="1">
        <v>1</v>
      </c>
      <c r="K13" s="1">
        <v>0</v>
      </c>
    </row>
    <row r="14" spans="1:11" x14ac:dyDescent="0.3">
      <c r="A14" t="s">
        <v>11</v>
      </c>
      <c r="B14" t="s">
        <v>20</v>
      </c>
      <c r="C14" t="s">
        <v>24</v>
      </c>
      <c r="D14" t="s">
        <v>14</v>
      </c>
      <c r="E14">
        <v>26.6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</row>
    <row r="15" spans="1:11" x14ac:dyDescent="0.3">
      <c r="A15" t="s">
        <v>11</v>
      </c>
      <c r="B15" t="s">
        <v>20</v>
      </c>
      <c r="C15" t="s">
        <v>24</v>
      </c>
      <c r="D15" t="s">
        <v>15</v>
      </c>
      <c r="E15">
        <v>39.1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07C6-BF81-4AC8-AF5E-59A48899BE48}">
  <dimension ref="A1:F9"/>
  <sheetViews>
    <sheetView tabSelected="1" workbookViewId="0">
      <selection activeCell="J10" sqref="J10"/>
    </sheetView>
  </sheetViews>
  <sheetFormatPr defaultRowHeight="14.4" x14ac:dyDescent="0.3"/>
  <cols>
    <col min="1" max="2" width="8.88671875" customWidth="1"/>
    <col min="3" max="3" width="7.6640625" customWidth="1"/>
    <col min="4" max="4" width="7.88671875" bestFit="1" customWidth="1"/>
    <col min="5" max="6" width="15.5546875" bestFit="1" customWidth="1"/>
  </cols>
  <sheetData>
    <row r="1" spans="1:6" x14ac:dyDescent="0.3">
      <c r="A1" t="s">
        <v>0</v>
      </c>
      <c r="B1" t="s">
        <v>1</v>
      </c>
      <c r="C1" t="s">
        <v>27</v>
      </c>
      <c r="D1" t="s">
        <v>4</v>
      </c>
      <c r="E1" t="s">
        <v>25</v>
      </c>
      <c r="F1" t="s">
        <v>26</v>
      </c>
    </row>
    <row r="2" spans="1:6" x14ac:dyDescent="0.3">
      <c r="A2" t="s">
        <v>11</v>
      </c>
      <c r="B2" t="s">
        <v>12</v>
      </c>
      <c r="C2" t="s">
        <v>13</v>
      </c>
      <c r="D2" s="2">
        <v>49.143000000000001</v>
      </c>
      <c r="E2" s="2">
        <f>100*1</f>
        <v>100</v>
      </c>
      <c r="F2" s="2">
        <f>100*1</f>
        <v>100</v>
      </c>
    </row>
    <row r="3" spans="1:6" x14ac:dyDescent="0.3">
      <c r="A3" t="s">
        <v>11</v>
      </c>
      <c r="B3" t="s">
        <v>12</v>
      </c>
      <c r="C3" t="s">
        <v>16</v>
      </c>
      <c r="D3" s="2">
        <v>17.646000000000001</v>
      </c>
      <c r="E3" s="2">
        <f>100*1</f>
        <v>100</v>
      </c>
      <c r="F3" s="2">
        <f t="shared" ref="F3:F4" si="0">100*1</f>
        <v>100</v>
      </c>
    </row>
    <row r="4" spans="1:6" x14ac:dyDescent="0.3">
      <c r="A4" t="s">
        <v>11</v>
      </c>
      <c r="B4" t="s">
        <v>12</v>
      </c>
      <c r="C4" t="s">
        <v>17</v>
      </c>
      <c r="D4" s="2">
        <v>33.463000000000001</v>
      </c>
      <c r="E4" s="2">
        <f>100*1</f>
        <v>100</v>
      </c>
      <c r="F4" s="2">
        <f t="shared" si="0"/>
        <v>100</v>
      </c>
    </row>
    <row r="5" spans="1:6" x14ac:dyDescent="0.3">
      <c r="A5" t="s">
        <v>11</v>
      </c>
      <c r="B5" t="s">
        <v>12</v>
      </c>
      <c r="C5" t="s">
        <v>19</v>
      </c>
      <c r="D5" s="2">
        <v>39.078000000000003</v>
      </c>
      <c r="E5" s="2">
        <f>100*0.333333333333333</f>
        <v>33.3333333333333</v>
      </c>
      <c r="F5" s="2">
        <f>100*0.66</f>
        <v>66</v>
      </c>
    </row>
    <row r="6" spans="1:6" x14ac:dyDescent="0.3">
      <c r="A6" t="s">
        <v>11</v>
      </c>
      <c r="B6" t="s">
        <v>20</v>
      </c>
      <c r="C6" t="s">
        <v>21</v>
      </c>
      <c r="D6" s="2">
        <v>75.63</v>
      </c>
      <c r="E6" s="2">
        <f>100*1</f>
        <v>100</v>
      </c>
      <c r="F6" s="2">
        <f>100*1</f>
        <v>100</v>
      </c>
    </row>
    <row r="7" spans="1:6" x14ac:dyDescent="0.3">
      <c r="A7" t="s">
        <v>11</v>
      </c>
      <c r="B7" t="s">
        <v>20</v>
      </c>
      <c r="C7" t="s">
        <v>22</v>
      </c>
      <c r="D7" s="2">
        <v>17.754000000000001</v>
      </c>
      <c r="E7" s="2">
        <v>0</v>
      </c>
      <c r="F7" s="2">
        <v>0</v>
      </c>
    </row>
    <row r="8" spans="1:6" x14ac:dyDescent="0.3">
      <c r="A8" t="s">
        <v>11</v>
      </c>
      <c r="B8" t="s">
        <v>20</v>
      </c>
      <c r="C8" t="s">
        <v>23</v>
      </c>
      <c r="D8" s="2">
        <v>48.908000000000001</v>
      </c>
      <c r="E8" s="2">
        <f>100*0.333333333333333</f>
        <v>33.3333333333333</v>
      </c>
      <c r="F8" s="2">
        <f>100*0.66</f>
        <v>66</v>
      </c>
    </row>
    <row r="9" spans="1:6" x14ac:dyDescent="0.3">
      <c r="A9" t="s">
        <v>11</v>
      </c>
      <c r="B9" t="s">
        <v>20</v>
      </c>
      <c r="C9" t="s">
        <v>24</v>
      </c>
      <c r="D9" s="2">
        <v>65.7</v>
      </c>
      <c r="E9" s="2">
        <v>0</v>
      </c>
      <c r="F9" s="2">
        <f>100*0.333333333333333</f>
        <v>33.3333333333333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parapet_progress</vt:lpstr>
      <vt:lpstr>parapet_bylevel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Jainal Abidin Bosiran</dc:creator>
  <cp:lastModifiedBy>Jainal Abidin Bosiran</cp:lastModifiedBy>
  <dcterms:created xsi:type="dcterms:W3CDTF">2025-11-27T06:23:44Z</dcterms:created>
  <dcterms:modified xsi:type="dcterms:W3CDTF">2025-11-27T06:28:06Z</dcterms:modified>
</cp:coreProperties>
</file>