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na\SMD\HTML Progress Claim\data\"/>
    </mc:Choice>
  </mc:AlternateContent>
  <xr:revisionPtr revIDLastSave="0" documentId="13_ncr:9_{C1CAB13B-6121-4A33-B9F6-1508958B232A}" xr6:coauthVersionLast="47" xr6:coauthVersionMax="47" xr10:uidLastSave="{00000000-0000-0000-0000-000000000000}"/>
  <bookViews>
    <workbookView xWindow="-108" yWindow="-108" windowWidth="23256" windowHeight="12456" activeTab="3" xr2:uid="{CBCEAA2C-48E1-461E-9061-B585D3ECA905}"/>
  </bookViews>
  <sheets>
    <sheet name="monthly_progress" sheetId="1" r:id="rId1"/>
    <sheet name="pt_pivot" sheetId="3" r:id="rId2"/>
    <sheet name="summary" sheetId="4" r:id="rId3"/>
    <sheet name="summary_level" sheetId="5" r:id="rId4"/>
  </sheets>
  <calcPr calcId="0"/>
  <pivotCaches>
    <pivotCache cacheId="13" r:id="rId5"/>
  </pivotCaches>
</workbook>
</file>

<file path=xl/calcChain.xml><?xml version="1.0" encoding="utf-8"?>
<calcChain xmlns="http://schemas.openxmlformats.org/spreadsheetml/2006/main">
  <c r="G6" i="5" l="1"/>
  <c r="G5" i="5"/>
  <c r="F6" i="5"/>
  <c r="F5" i="5"/>
  <c r="E6" i="5"/>
  <c r="E5" i="5"/>
  <c r="G4" i="5"/>
  <c r="F4" i="5"/>
  <c r="E4" i="5"/>
  <c r="G3" i="5"/>
  <c r="F3" i="5"/>
  <c r="E3" i="5"/>
  <c r="E2" i="5"/>
  <c r="G2" i="5"/>
  <c r="F2" i="5"/>
  <c r="D6" i="5"/>
  <c r="D5" i="5"/>
  <c r="D4" i="5"/>
  <c r="D3" i="5"/>
  <c r="D2" i="5"/>
  <c r="D19" i="4"/>
  <c r="D20" i="4"/>
  <c r="D21" i="4"/>
  <c r="D22" i="4"/>
  <c r="D18" i="4"/>
  <c r="D14" i="4"/>
  <c r="D15" i="4"/>
  <c r="D16" i="4"/>
  <c r="D17" i="4"/>
  <c r="D13" i="4"/>
  <c r="D11" i="4"/>
  <c r="D12" i="4"/>
  <c r="D10" i="4"/>
  <c r="D7" i="4"/>
  <c r="D8" i="4"/>
  <c r="D9" i="4"/>
  <c r="D6" i="4"/>
  <c r="D3" i="4"/>
  <c r="D4" i="4"/>
  <c r="D5" i="4"/>
  <c r="D2" i="4"/>
  <c r="E9" i="4"/>
  <c r="E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<sst xmlns="http://schemas.openxmlformats.org/spreadsheetml/2006/main" count="458" uniqueCount="98">
  <si>
    <t>Tower</t>
  </si>
  <si>
    <t>Level</t>
  </si>
  <si>
    <t>zone</t>
  </si>
  <si>
    <t>SOW</t>
  </si>
  <si>
    <t>area_m2</t>
  </si>
  <si>
    <t>fwk_pc13</t>
  </si>
  <si>
    <t>fwk_pc14</t>
  </si>
  <si>
    <t>rebar_pc13</t>
  </si>
  <si>
    <t>rebar_pc14</t>
  </si>
  <si>
    <t>concrete_pc13</t>
  </si>
  <si>
    <t>concrete_pc14</t>
  </si>
  <si>
    <t>pt_pc13</t>
  </si>
  <si>
    <t>pt_pc14</t>
  </si>
  <si>
    <t>T4</t>
  </si>
  <si>
    <t>LG2</t>
  </si>
  <si>
    <t>Zone 1</t>
  </si>
  <si>
    <t>non-pt</t>
  </si>
  <si>
    <t>LG1</t>
  </si>
  <si>
    <t>Zone 2</t>
  </si>
  <si>
    <t>Zone 3</t>
  </si>
  <si>
    <t>GF</t>
  </si>
  <si>
    <t>Zone 4</t>
  </si>
  <si>
    <t>Zone 5.1</t>
  </si>
  <si>
    <t>Zone 5.2</t>
  </si>
  <si>
    <t>Zone 5.3</t>
  </si>
  <si>
    <t>Zone 5.4</t>
  </si>
  <si>
    <t>Zone 5.5</t>
  </si>
  <si>
    <t>Zone 5.6</t>
  </si>
  <si>
    <t>L1</t>
  </si>
  <si>
    <t>Zone 6</t>
  </si>
  <si>
    <t>Zone 7</t>
  </si>
  <si>
    <t>Zone 7.1</t>
  </si>
  <si>
    <t>Zone 8</t>
  </si>
  <si>
    <t>Zone 9a</t>
  </si>
  <si>
    <t>Zone 9b</t>
  </si>
  <si>
    <t>Zone 10</t>
  </si>
  <si>
    <t>Zone 11</t>
  </si>
  <si>
    <t>Zone 12</t>
  </si>
  <si>
    <t>Zone 13</t>
  </si>
  <si>
    <t>L1M</t>
  </si>
  <si>
    <t>Zone 14</t>
  </si>
  <si>
    <t>Zone 15</t>
  </si>
  <si>
    <t>Zone 16</t>
  </si>
  <si>
    <t>Zone 17</t>
  </si>
  <si>
    <t>Zone 18</t>
  </si>
  <si>
    <t>Zone 19</t>
  </si>
  <si>
    <t>Zone 20</t>
  </si>
  <si>
    <t>Zone 21.1</t>
  </si>
  <si>
    <t>Zone 21.2</t>
  </si>
  <si>
    <t>Zone 21.3</t>
  </si>
  <si>
    <t>Zone 21.4</t>
  </si>
  <si>
    <t>Zone 21.5</t>
  </si>
  <si>
    <t>Zone 21.6</t>
  </si>
  <si>
    <t>Zone 21.7</t>
  </si>
  <si>
    <t>L2</t>
  </si>
  <si>
    <t>Zone 22</t>
  </si>
  <si>
    <t>Zone 23</t>
  </si>
  <si>
    <t>Zone 24</t>
  </si>
  <si>
    <t>Zone 25</t>
  </si>
  <si>
    <t>Zone 26</t>
  </si>
  <si>
    <t>Zone 27</t>
  </si>
  <si>
    <t>Zone 28</t>
  </si>
  <si>
    <t>L3</t>
  </si>
  <si>
    <t>Zone 29</t>
  </si>
  <si>
    <t>Zone 30</t>
  </si>
  <si>
    <t>Zone 31</t>
  </si>
  <si>
    <t>Zone 32</t>
  </si>
  <si>
    <t>Zone 33</t>
  </si>
  <si>
    <t>Zone 34</t>
  </si>
  <si>
    <t>T3</t>
  </si>
  <si>
    <t>Zone 4.1</t>
  </si>
  <si>
    <t>Zone6</t>
  </si>
  <si>
    <t>Zone8</t>
  </si>
  <si>
    <t>Zone9</t>
  </si>
  <si>
    <t>Zone10</t>
  </si>
  <si>
    <t>Zone11</t>
  </si>
  <si>
    <t>Zone12</t>
  </si>
  <si>
    <t>Zone14</t>
  </si>
  <si>
    <t>L4</t>
  </si>
  <si>
    <t>Zone15</t>
  </si>
  <si>
    <t>Zone16</t>
  </si>
  <si>
    <t>Zone17</t>
  </si>
  <si>
    <t>Zone19</t>
  </si>
  <si>
    <t>Row Labels</t>
  </si>
  <si>
    <t>Grand Total</t>
  </si>
  <si>
    <t>Sum of area_m2</t>
  </si>
  <si>
    <t>Column Labels</t>
  </si>
  <si>
    <t>category</t>
  </si>
  <si>
    <t>pt</t>
  </si>
  <si>
    <t>Total Sum of area_m2</t>
  </si>
  <si>
    <t>Zone</t>
  </si>
  <si>
    <t>Total_area_m2</t>
  </si>
  <si>
    <t>%_progress_PC13</t>
  </si>
  <si>
    <t>Total Sum of pt_pc13</t>
  </si>
  <si>
    <t>Sum of pt_pc13</t>
  </si>
  <si>
    <t>Total Sum of pt_pc14</t>
  </si>
  <si>
    <t>Sum of pt_pc14</t>
  </si>
  <si>
    <t>%_progress_PC14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</si>
</sst>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2" fontId="0" fillId="0" borderId="0" xfId="1" applyNumberFormat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9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nal Abidin Bosiran" refreshedDate="45988.572195949077" createdVersion="8" refreshedVersion="8" minRefreshableVersion="3" recordCount="63" xr:uid="{2F3197C9-3E5F-4E66-B5EB-588463282B60}">
  <cacheSource type="worksheet">
    <worksheetSource name="Table1"/>
  </cacheSource>
  <cacheFields count="14">
    <cacheField name="Tower" numFmtId="0">
      <sharedItems count="2">
        <s v="T4"/>
        <s v="T3"/>
      </sharedItems>
    </cacheField>
    <cacheField name="Level" numFmtId="0">
      <sharedItems count="8">
        <s v="LG2"/>
        <s v="LG1"/>
        <s v="GF"/>
        <s v="L1"/>
        <s v="L1M"/>
        <s v="L2"/>
        <s v="L3"/>
        <s v="L4"/>
      </sharedItems>
    </cacheField>
    <cacheField name="zone" numFmtId="0">
      <sharedItems count="59">
        <s v="Zone 1"/>
        <s v="Zone 2"/>
        <s v="Zone 3"/>
        <s v="Zone 4"/>
        <s v="Zone 5.1"/>
        <s v="Zone 5.2"/>
        <s v="Zone 5.3"/>
        <s v="Zone 5.4"/>
        <s v="Zone 5.5"/>
        <s v="Zone 5.6"/>
        <s v="Zone 6"/>
        <s v="Zone 7"/>
        <s v="Zone 7.1"/>
        <s v="Zone 8"/>
        <s v="Zone 9a"/>
        <s v="Zone 9b"/>
        <s v="Zone 10"/>
        <s v="Zone 11"/>
        <s v="Zone 12"/>
        <s v="Zone 13"/>
        <s v="Zone 14"/>
        <s v="Zone 15"/>
        <s v="Zone 16"/>
        <s v="Zone 17"/>
        <s v="Zone 18"/>
        <s v="Zone 19"/>
        <s v="Zone 20"/>
        <s v="Zone 21.1"/>
        <s v="Zone 21.2"/>
        <s v="Zone 21.3"/>
        <s v="Zone 21.4"/>
        <s v="Zone 21.5"/>
        <s v="Zone 21.6"/>
        <s v="Zone 21.7"/>
        <s v="Zone 22"/>
        <s v="Zone 23"/>
        <s v="Zone 24"/>
        <s v="Zone 25"/>
        <s v="Zone 26"/>
        <s v="Zone 27"/>
        <s v="Zone 28"/>
        <s v="Zone 29"/>
        <s v="Zone 30"/>
        <s v="Zone 31"/>
        <s v="Zone 32"/>
        <s v="Zone 33"/>
        <s v="Zone 34"/>
        <s v="Zone 4.1"/>
        <s v="Zone6"/>
        <s v="Zone8"/>
        <s v="Zone9"/>
        <s v="Zone10"/>
        <s v="Zone11"/>
        <s v="Zone12"/>
        <s v="Zone14"/>
        <s v="Zone15"/>
        <s v="Zone16"/>
        <s v="Zone17"/>
        <s v="Zone19"/>
      </sharedItems>
    </cacheField>
    <cacheField name="SOW" numFmtId="0">
      <sharedItems containsSemiMixedTypes="0" containsString="0" containsNumber="1" containsInteger="1" minValue="2" maxValue="6" count="4">
        <n v="2"/>
        <n v="5"/>
        <n v="6"/>
        <n v="4"/>
      </sharedItems>
    </cacheField>
    <cacheField name="area_m2" numFmtId="0">
      <sharedItems containsSemiMixedTypes="0" containsString="0" containsNumber="1" containsInteger="1" minValue="19" maxValue="2034"/>
    </cacheField>
    <cacheField name="fwk_pc13" numFmtId="9">
      <sharedItems containsSemiMixedTypes="0" containsString="0" containsNumber="1" minValue="0" maxValue="1"/>
    </cacheField>
    <cacheField name="fwk_pc14" numFmtId="9">
      <sharedItems containsSemiMixedTypes="0" containsString="0" containsNumber="1" minValue="0" maxValue="1"/>
    </cacheField>
    <cacheField name="rebar_pc13" numFmtId="9">
      <sharedItems containsSemiMixedTypes="0" containsString="0" containsNumber="1" minValue="0" maxValue="1"/>
    </cacheField>
    <cacheField name="rebar_pc14" numFmtId="9">
      <sharedItems containsSemiMixedTypes="0" containsString="0" containsNumber="1" minValue="0" maxValue="1"/>
    </cacheField>
    <cacheField name="concrete_pc13" numFmtId="9">
      <sharedItems containsSemiMixedTypes="0" containsString="0" containsNumber="1" minValue="0" maxValue="1"/>
    </cacheField>
    <cacheField name="concrete_pc14" numFmtId="0">
      <sharedItems containsString="0" containsBlank="1" containsNumber="1" minValue="0" maxValue="1"/>
    </cacheField>
    <cacheField name="pt_pc13" numFmtId="0">
      <sharedItems containsMixedTypes="1" containsNumber="1" minValue="0" maxValue="1"/>
    </cacheField>
    <cacheField name="pt_pc14" numFmtId="0">
      <sharedItems containsMixedTypes="1" containsNumber="1" minValue="0" maxValue="1"/>
    </cacheField>
    <cacheField name="category" numFmtId="9">
      <sharedItems count="2">
        <s v="non-pt"/>
        <s v="p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x v="0"/>
    <x v="0"/>
    <x v="0"/>
    <n v="109"/>
    <n v="1"/>
    <n v="1"/>
    <n v="1"/>
    <n v="1"/>
    <n v="1"/>
    <n v="1"/>
    <s v="non-pt"/>
    <s v="non-pt"/>
    <x v="0"/>
  </r>
  <r>
    <x v="0"/>
    <x v="1"/>
    <x v="1"/>
    <x v="0"/>
    <n v="150"/>
    <n v="1"/>
    <n v="1"/>
    <n v="1"/>
    <n v="1"/>
    <n v="1"/>
    <n v="1"/>
    <s v="non-pt"/>
    <s v="non-pt"/>
    <x v="0"/>
  </r>
  <r>
    <x v="0"/>
    <x v="1"/>
    <x v="2"/>
    <x v="0"/>
    <n v="193"/>
    <n v="1"/>
    <n v="1"/>
    <n v="1"/>
    <n v="1"/>
    <n v="1"/>
    <n v="1"/>
    <s v="non-pt"/>
    <s v="non-pt"/>
    <x v="0"/>
  </r>
  <r>
    <x v="0"/>
    <x v="2"/>
    <x v="3"/>
    <x v="0"/>
    <n v="936"/>
    <n v="1"/>
    <n v="1"/>
    <n v="1"/>
    <n v="1"/>
    <n v="1"/>
    <n v="1"/>
    <s v="non-pt"/>
    <s v="non-pt"/>
    <x v="0"/>
  </r>
  <r>
    <x v="0"/>
    <x v="2"/>
    <x v="4"/>
    <x v="0"/>
    <n v="171"/>
    <n v="0"/>
    <n v="0"/>
    <n v="0"/>
    <n v="0"/>
    <n v="0"/>
    <n v="0"/>
    <s v="non-pt"/>
    <s v="non-pt"/>
    <x v="0"/>
  </r>
  <r>
    <x v="0"/>
    <x v="2"/>
    <x v="5"/>
    <x v="0"/>
    <n v="35"/>
    <n v="0"/>
    <n v="0"/>
    <n v="0"/>
    <n v="0"/>
    <n v="0"/>
    <n v="0"/>
    <s v="non-pt"/>
    <s v="non-pt"/>
    <x v="0"/>
  </r>
  <r>
    <x v="0"/>
    <x v="2"/>
    <x v="6"/>
    <x v="0"/>
    <n v="147"/>
    <n v="0"/>
    <n v="0"/>
    <n v="0"/>
    <n v="0"/>
    <n v="0"/>
    <n v="0"/>
    <s v="non-pt"/>
    <s v="non-pt"/>
    <x v="0"/>
  </r>
  <r>
    <x v="0"/>
    <x v="2"/>
    <x v="7"/>
    <x v="0"/>
    <n v="42"/>
    <n v="0"/>
    <n v="0"/>
    <n v="0"/>
    <n v="0"/>
    <n v="0"/>
    <n v="0"/>
    <s v="non-pt"/>
    <s v="non-pt"/>
    <x v="0"/>
  </r>
  <r>
    <x v="0"/>
    <x v="2"/>
    <x v="8"/>
    <x v="0"/>
    <n v="34"/>
    <n v="0"/>
    <n v="0"/>
    <n v="0"/>
    <n v="0"/>
    <n v="0"/>
    <n v="0"/>
    <s v="non-pt"/>
    <s v="non-pt"/>
    <x v="0"/>
  </r>
  <r>
    <x v="0"/>
    <x v="2"/>
    <x v="9"/>
    <x v="0"/>
    <n v="19"/>
    <n v="1"/>
    <n v="1"/>
    <n v="1"/>
    <n v="1"/>
    <n v="1"/>
    <n v="1"/>
    <s v="non-pt"/>
    <s v="non-pt"/>
    <x v="0"/>
  </r>
  <r>
    <x v="0"/>
    <x v="3"/>
    <x v="10"/>
    <x v="0"/>
    <n v="723"/>
    <n v="1"/>
    <n v="1"/>
    <n v="1"/>
    <n v="1"/>
    <n v="1"/>
    <n v="1"/>
    <s v="non-pt"/>
    <s v="non-pt"/>
    <x v="0"/>
  </r>
  <r>
    <x v="0"/>
    <x v="3"/>
    <x v="11"/>
    <x v="0"/>
    <n v="922"/>
    <n v="1"/>
    <n v="1"/>
    <n v="1"/>
    <n v="1"/>
    <n v="1"/>
    <n v="1"/>
    <s v="non-pt"/>
    <s v="non-pt"/>
    <x v="0"/>
  </r>
  <r>
    <x v="0"/>
    <x v="3"/>
    <x v="12"/>
    <x v="0"/>
    <n v="214"/>
    <n v="1"/>
    <n v="1"/>
    <n v="1"/>
    <n v="1"/>
    <n v="1"/>
    <n v="1"/>
    <s v="non-pt"/>
    <s v="non-pt"/>
    <x v="0"/>
  </r>
  <r>
    <x v="0"/>
    <x v="3"/>
    <x v="13"/>
    <x v="1"/>
    <n v="812"/>
    <n v="1"/>
    <n v="1"/>
    <n v="1"/>
    <n v="1"/>
    <n v="1"/>
    <n v="1"/>
    <s v="non-pt"/>
    <s v="non-pt"/>
    <x v="0"/>
  </r>
  <r>
    <x v="0"/>
    <x v="3"/>
    <x v="14"/>
    <x v="1"/>
    <n v="536"/>
    <n v="1"/>
    <n v="1"/>
    <n v="1"/>
    <n v="1"/>
    <n v="1"/>
    <n v="1"/>
    <s v="non-pt"/>
    <s v="non-pt"/>
    <x v="0"/>
  </r>
  <r>
    <x v="0"/>
    <x v="3"/>
    <x v="15"/>
    <x v="0"/>
    <n v="268"/>
    <n v="1"/>
    <n v="1"/>
    <n v="1"/>
    <n v="1"/>
    <n v="1"/>
    <n v="1"/>
    <s v="non-pt"/>
    <s v="non-pt"/>
    <x v="0"/>
  </r>
  <r>
    <x v="0"/>
    <x v="3"/>
    <x v="16"/>
    <x v="1"/>
    <n v="266"/>
    <n v="1"/>
    <n v="1"/>
    <n v="1"/>
    <n v="1"/>
    <n v="1"/>
    <n v="1"/>
    <s v="non-pt"/>
    <s v="non-pt"/>
    <x v="0"/>
  </r>
  <r>
    <x v="0"/>
    <x v="3"/>
    <x v="17"/>
    <x v="0"/>
    <n v="566"/>
    <n v="1"/>
    <n v="1"/>
    <n v="0.8"/>
    <n v="1"/>
    <n v="0"/>
    <n v="1"/>
    <s v="non-pt"/>
    <s v="non-pt"/>
    <x v="0"/>
  </r>
  <r>
    <x v="0"/>
    <x v="3"/>
    <x v="18"/>
    <x v="0"/>
    <n v="479"/>
    <n v="0"/>
    <n v="0.7"/>
    <n v="0.3"/>
    <n v="0.7"/>
    <n v="0"/>
    <n v="0.7"/>
    <s v="non-pt"/>
    <s v="non-pt"/>
    <x v="0"/>
  </r>
  <r>
    <x v="0"/>
    <x v="3"/>
    <x v="19"/>
    <x v="0"/>
    <n v="334"/>
    <n v="0"/>
    <n v="0"/>
    <n v="0"/>
    <n v="0"/>
    <n v="0"/>
    <n v="0"/>
    <s v="non-pt"/>
    <s v="non-pt"/>
    <x v="0"/>
  </r>
  <r>
    <x v="0"/>
    <x v="4"/>
    <x v="20"/>
    <x v="2"/>
    <n v="111"/>
    <n v="1"/>
    <n v="1"/>
    <n v="1"/>
    <n v="1"/>
    <n v="1"/>
    <n v="1"/>
    <s v="non-pt"/>
    <s v="non-pt"/>
    <x v="0"/>
  </r>
  <r>
    <x v="0"/>
    <x v="4"/>
    <x v="21"/>
    <x v="0"/>
    <n v="578"/>
    <n v="1"/>
    <n v="1"/>
    <n v="1"/>
    <n v="1"/>
    <n v="1"/>
    <n v="1"/>
    <s v="non-pt"/>
    <s v="non-pt"/>
    <x v="0"/>
  </r>
  <r>
    <x v="0"/>
    <x v="4"/>
    <x v="22"/>
    <x v="2"/>
    <n v="901"/>
    <n v="1"/>
    <n v="1"/>
    <n v="1"/>
    <n v="1"/>
    <n v="1"/>
    <n v="1"/>
    <n v="1"/>
    <n v="1"/>
    <x v="1"/>
  </r>
  <r>
    <x v="0"/>
    <x v="4"/>
    <x v="23"/>
    <x v="2"/>
    <n v="366"/>
    <n v="1"/>
    <n v="1"/>
    <n v="1"/>
    <n v="1"/>
    <n v="1"/>
    <n v="1"/>
    <n v="1"/>
    <n v="1"/>
    <x v="1"/>
  </r>
  <r>
    <x v="0"/>
    <x v="4"/>
    <x v="24"/>
    <x v="2"/>
    <n v="370"/>
    <n v="1"/>
    <n v="1"/>
    <n v="1"/>
    <n v="1"/>
    <n v="1"/>
    <n v="1"/>
    <n v="1"/>
    <n v="1"/>
    <x v="1"/>
  </r>
  <r>
    <x v="0"/>
    <x v="4"/>
    <x v="25"/>
    <x v="2"/>
    <n v="430"/>
    <n v="0.7"/>
    <n v="0.7"/>
    <n v="0.7"/>
    <n v="0.7"/>
    <n v="0.7"/>
    <n v="0.7"/>
    <s v="non-pt"/>
    <s v="non-pt"/>
    <x v="0"/>
  </r>
  <r>
    <x v="0"/>
    <x v="4"/>
    <x v="26"/>
    <x v="2"/>
    <n v="565"/>
    <n v="1"/>
    <n v="1"/>
    <n v="1"/>
    <n v="1"/>
    <n v="1"/>
    <n v="1"/>
    <s v="non-pt"/>
    <s v="non-pt"/>
    <x v="0"/>
  </r>
  <r>
    <x v="0"/>
    <x v="4"/>
    <x v="27"/>
    <x v="0"/>
    <n v="45"/>
    <n v="1"/>
    <n v="1"/>
    <n v="1"/>
    <n v="1"/>
    <n v="0"/>
    <n v="0"/>
    <s v="non-pt"/>
    <s v="non-pt"/>
    <x v="0"/>
  </r>
  <r>
    <x v="0"/>
    <x v="4"/>
    <x v="28"/>
    <x v="0"/>
    <n v="73"/>
    <n v="0"/>
    <n v="0"/>
    <n v="0"/>
    <n v="0"/>
    <n v="0"/>
    <n v="0"/>
    <s v="non-pt"/>
    <s v="non-pt"/>
    <x v="0"/>
  </r>
  <r>
    <x v="0"/>
    <x v="4"/>
    <x v="29"/>
    <x v="2"/>
    <n v="26"/>
    <n v="0"/>
    <n v="0"/>
    <n v="0"/>
    <n v="0"/>
    <n v="0"/>
    <n v="0"/>
    <s v="non-pt"/>
    <s v="non-pt"/>
    <x v="0"/>
  </r>
  <r>
    <x v="0"/>
    <x v="4"/>
    <x v="30"/>
    <x v="0"/>
    <n v="40"/>
    <n v="0"/>
    <n v="0"/>
    <n v="0"/>
    <n v="0"/>
    <n v="0"/>
    <n v="0"/>
    <s v="non-pt"/>
    <s v="non-pt"/>
    <x v="0"/>
  </r>
  <r>
    <x v="0"/>
    <x v="4"/>
    <x v="31"/>
    <x v="0"/>
    <n v="95"/>
    <n v="1"/>
    <n v="1"/>
    <n v="1"/>
    <n v="1"/>
    <n v="1"/>
    <n v="1"/>
    <s v="non-pt"/>
    <s v="non-pt"/>
    <x v="0"/>
  </r>
  <r>
    <x v="0"/>
    <x v="4"/>
    <x v="32"/>
    <x v="0"/>
    <n v="48"/>
    <n v="1"/>
    <n v="1"/>
    <n v="1"/>
    <n v="1"/>
    <n v="0"/>
    <n v="0"/>
    <s v="non-pt"/>
    <s v="non-pt"/>
    <x v="0"/>
  </r>
  <r>
    <x v="0"/>
    <x v="4"/>
    <x v="33"/>
    <x v="0"/>
    <n v="114"/>
    <n v="0"/>
    <n v="0"/>
    <n v="0"/>
    <n v="0"/>
    <n v="0"/>
    <n v="0"/>
    <s v="non-pt"/>
    <s v="non-pt"/>
    <x v="0"/>
  </r>
  <r>
    <x v="0"/>
    <x v="5"/>
    <x v="34"/>
    <x v="2"/>
    <n v="1605"/>
    <n v="1"/>
    <n v="1"/>
    <n v="1"/>
    <n v="1"/>
    <n v="1"/>
    <n v="1"/>
    <n v="0.9"/>
    <n v="0.9"/>
    <x v="1"/>
  </r>
  <r>
    <x v="0"/>
    <x v="5"/>
    <x v="35"/>
    <x v="2"/>
    <n v="1265"/>
    <n v="1"/>
    <n v="1"/>
    <n v="1"/>
    <n v="1"/>
    <n v="1"/>
    <n v="1"/>
    <n v="0.9"/>
    <n v="0.9"/>
    <x v="1"/>
  </r>
  <r>
    <x v="0"/>
    <x v="5"/>
    <x v="36"/>
    <x v="2"/>
    <n v="1687"/>
    <n v="1"/>
    <n v="1"/>
    <n v="1"/>
    <n v="1"/>
    <n v="1"/>
    <n v="1"/>
    <n v="0.9"/>
    <n v="0.9"/>
    <x v="1"/>
  </r>
  <r>
    <x v="0"/>
    <x v="5"/>
    <x v="37"/>
    <x v="2"/>
    <n v="1372"/>
    <n v="0.4"/>
    <n v="0.4"/>
    <n v="0.4"/>
    <n v="0.4"/>
    <n v="0"/>
    <n v="0"/>
    <n v="0"/>
    <n v="0"/>
    <x v="1"/>
  </r>
  <r>
    <x v="0"/>
    <x v="5"/>
    <x v="38"/>
    <x v="2"/>
    <n v="1773"/>
    <n v="0.09"/>
    <n v="1"/>
    <n v="0.09"/>
    <n v="0.09"/>
    <n v="0.09"/>
    <n v="0.09"/>
    <n v="0.09"/>
    <n v="0.09"/>
    <x v="1"/>
  </r>
  <r>
    <x v="0"/>
    <x v="5"/>
    <x v="39"/>
    <x v="2"/>
    <n v="803"/>
    <n v="0.35"/>
    <n v="0.35"/>
    <n v="0.35"/>
    <n v="0.35"/>
    <n v="0.35"/>
    <n v="0.35"/>
    <s v="non-pt"/>
    <s v="non-pt"/>
    <x v="0"/>
  </r>
  <r>
    <x v="0"/>
    <x v="5"/>
    <x v="40"/>
    <x v="2"/>
    <n v="498"/>
    <n v="0"/>
    <n v="1"/>
    <n v="0"/>
    <n v="1"/>
    <n v="0"/>
    <n v="0"/>
    <s v="non-pt"/>
    <s v="non-pt"/>
    <x v="0"/>
  </r>
  <r>
    <x v="0"/>
    <x v="6"/>
    <x v="41"/>
    <x v="2"/>
    <n v="663"/>
    <n v="1"/>
    <n v="1"/>
    <n v="1"/>
    <n v="1"/>
    <n v="1"/>
    <n v="1"/>
    <s v="non-pt"/>
    <s v="non-pt"/>
    <x v="0"/>
  </r>
  <r>
    <x v="0"/>
    <x v="6"/>
    <x v="42"/>
    <x v="2"/>
    <n v="1446"/>
    <n v="1"/>
    <n v="1"/>
    <n v="1"/>
    <n v="1"/>
    <n v="1"/>
    <n v="1"/>
    <n v="0.9"/>
    <n v="0.9"/>
    <x v="1"/>
  </r>
  <r>
    <x v="0"/>
    <x v="6"/>
    <x v="43"/>
    <x v="2"/>
    <n v="1280"/>
    <n v="1"/>
    <n v="1"/>
    <n v="1"/>
    <n v="1"/>
    <n v="1"/>
    <n v="1"/>
    <n v="0.9"/>
    <n v="0.9"/>
    <x v="1"/>
  </r>
  <r>
    <x v="0"/>
    <x v="6"/>
    <x v="44"/>
    <x v="2"/>
    <n v="1925"/>
    <n v="1"/>
    <n v="1"/>
    <n v="0.5"/>
    <n v="1"/>
    <n v="0"/>
    <n v="0"/>
    <n v="0.5"/>
    <n v="0.75"/>
    <x v="1"/>
  </r>
  <r>
    <x v="0"/>
    <x v="6"/>
    <x v="45"/>
    <x v="2"/>
    <n v="1314"/>
    <n v="0"/>
    <n v="0"/>
    <n v="0"/>
    <n v="0"/>
    <n v="0"/>
    <n v="0"/>
    <n v="0"/>
    <n v="0"/>
    <x v="1"/>
  </r>
  <r>
    <x v="0"/>
    <x v="6"/>
    <x v="46"/>
    <x v="2"/>
    <n v="2034"/>
    <n v="0"/>
    <n v="0"/>
    <n v="0"/>
    <n v="0"/>
    <n v="0"/>
    <n v="0"/>
    <n v="0"/>
    <n v="0"/>
    <x v="1"/>
  </r>
  <r>
    <x v="1"/>
    <x v="0"/>
    <x v="0"/>
    <x v="0"/>
    <n v="259"/>
    <n v="1"/>
    <n v="1"/>
    <n v="1"/>
    <n v="1"/>
    <n v="1"/>
    <n v="1"/>
    <s v="non-pt"/>
    <s v="non-pt"/>
    <x v="0"/>
  </r>
  <r>
    <x v="1"/>
    <x v="1"/>
    <x v="1"/>
    <x v="0"/>
    <n v="283"/>
    <n v="1"/>
    <n v="1"/>
    <n v="1"/>
    <n v="1"/>
    <n v="1"/>
    <n v="1"/>
    <s v="non-pt"/>
    <s v="non-pt"/>
    <x v="0"/>
  </r>
  <r>
    <x v="1"/>
    <x v="1"/>
    <x v="2"/>
    <x v="0"/>
    <n v="57"/>
    <n v="1"/>
    <n v="1"/>
    <n v="1"/>
    <n v="1"/>
    <n v="1"/>
    <n v="1"/>
    <s v="non-pt"/>
    <s v="non-pt"/>
    <x v="0"/>
  </r>
  <r>
    <x v="1"/>
    <x v="2"/>
    <x v="3"/>
    <x v="0"/>
    <n v="386"/>
    <n v="1"/>
    <n v="1"/>
    <n v="1"/>
    <n v="1"/>
    <n v="1"/>
    <n v="1"/>
    <s v="non-pt"/>
    <s v="non-pt"/>
    <x v="0"/>
  </r>
  <r>
    <x v="1"/>
    <x v="2"/>
    <x v="47"/>
    <x v="0"/>
    <n v="75"/>
    <n v="1"/>
    <n v="1"/>
    <n v="1"/>
    <n v="1"/>
    <n v="1"/>
    <n v="1"/>
    <s v="non-pt"/>
    <s v="non-pt"/>
    <x v="0"/>
  </r>
  <r>
    <x v="1"/>
    <x v="3"/>
    <x v="48"/>
    <x v="0"/>
    <n v="388"/>
    <n v="1"/>
    <n v="1"/>
    <n v="1"/>
    <n v="1"/>
    <n v="1"/>
    <n v="1"/>
    <s v="non-pt"/>
    <s v="non-pt"/>
    <x v="0"/>
  </r>
  <r>
    <x v="1"/>
    <x v="3"/>
    <x v="49"/>
    <x v="0"/>
    <n v="44"/>
    <n v="1"/>
    <n v="1"/>
    <n v="1"/>
    <n v="1"/>
    <n v="1"/>
    <n v="1"/>
    <s v="non-pt"/>
    <s v="non-pt"/>
    <x v="0"/>
  </r>
  <r>
    <x v="1"/>
    <x v="3"/>
    <x v="50"/>
    <x v="0"/>
    <n v="82"/>
    <n v="1"/>
    <n v="1"/>
    <n v="1"/>
    <n v="1"/>
    <n v="1"/>
    <n v="1"/>
    <s v="non-pt"/>
    <s v="non-pt"/>
    <x v="0"/>
  </r>
  <r>
    <x v="1"/>
    <x v="6"/>
    <x v="51"/>
    <x v="3"/>
    <n v="729"/>
    <n v="1"/>
    <n v="1"/>
    <n v="1"/>
    <n v="1"/>
    <n v="1"/>
    <m/>
    <n v="0.9"/>
    <n v="0.9"/>
    <x v="1"/>
  </r>
  <r>
    <x v="1"/>
    <x v="6"/>
    <x v="52"/>
    <x v="3"/>
    <n v="343"/>
    <n v="1"/>
    <n v="1"/>
    <n v="1"/>
    <n v="1"/>
    <n v="1"/>
    <n v="1"/>
    <n v="1"/>
    <n v="1"/>
    <x v="1"/>
  </r>
  <r>
    <x v="1"/>
    <x v="6"/>
    <x v="53"/>
    <x v="3"/>
    <n v="838"/>
    <n v="1"/>
    <n v="1"/>
    <n v="1"/>
    <n v="1"/>
    <n v="1"/>
    <n v="1"/>
    <n v="0.9"/>
    <n v="0.9"/>
    <x v="1"/>
  </r>
  <r>
    <x v="1"/>
    <x v="6"/>
    <x v="54"/>
    <x v="3"/>
    <n v="791"/>
    <n v="1"/>
    <n v="1"/>
    <n v="1"/>
    <n v="1"/>
    <n v="0"/>
    <n v="1"/>
    <n v="0.75"/>
    <n v="0.75"/>
    <x v="1"/>
  </r>
  <r>
    <x v="1"/>
    <x v="7"/>
    <x v="55"/>
    <x v="3"/>
    <n v="638"/>
    <n v="1"/>
    <n v="1"/>
    <n v="1"/>
    <n v="1"/>
    <n v="1"/>
    <n v="1"/>
    <n v="0.9"/>
    <n v="0.9"/>
    <x v="1"/>
  </r>
  <r>
    <x v="1"/>
    <x v="7"/>
    <x v="56"/>
    <x v="3"/>
    <n v="1182"/>
    <n v="1"/>
    <n v="1"/>
    <n v="1"/>
    <n v="1"/>
    <n v="1"/>
    <n v="1"/>
    <n v="0.9"/>
    <n v="1"/>
    <x v="1"/>
  </r>
  <r>
    <x v="1"/>
    <x v="7"/>
    <x v="57"/>
    <x v="3"/>
    <n v="858"/>
    <n v="0"/>
    <n v="1"/>
    <n v="0"/>
    <n v="0"/>
    <n v="0"/>
    <n v="0"/>
    <n v="0"/>
    <n v="0"/>
    <x v="1"/>
  </r>
  <r>
    <x v="1"/>
    <x v="7"/>
    <x v="58"/>
    <x v="3"/>
    <n v="1128"/>
    <n v="0"/>
    <n v="0.21"/>
    <n v="0"/>
    <n v="0.21"/>
    <n v="0"/>
    <n v="0"/>
    <n v="0"/>
    <n v="0.2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97CB4-F81D-4D14-8032-0BD72E2A87EF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34" firstHeaderRow="1" firstDataRow="3" firstDataCol="1" rowPageCount="1" colPageCount="1"/>
  <pivotFields count="14">
    <pivotField axis="axisRow" showAll="0">
      <items count="3">
        <item x="1"/>
        <item x="0"/>
        <item t="default"/>
      </items>
    </pivotField>
    <pivotField axis="axisRow" showAll="0">
      <items count="9">
        <item x="2"/>
        <item x="3"/>
        <item x="4"/>
        <item x="5"/>
        <item x="6"/>
        <item x="7"/>
        <item x="1"/>
        <item x="0"/>
        <item t="default"/>
      </items>
    </pivotField>
    <pivotField axis="axisRow" showAll="0">
      <items count="60">
        <item x="0"/>
        <item x="16"/>
        <item x="17"/>
        <item x="18"/>
        <item x="19"/>
        <item x="20"/>
        <item x="21"/>
        <item x="22"/>
        <item x="23"/>
        <item x="24"/>
        <item x="25"/>
        <item x="1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2"/>
        <item x="42"/>
        <item x="43"/>
        <item x="44"/>
        <item x="45"/>
        <item x="46"/>
        <item x="3"/>
        <item x="47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51"/>
        <item x="52"/>
        <item x="53"/>
        <item x="54"/>
        <item x="55"/>
        <item x="56"/>
        <item x="57"/>
        <item x="58"/>
        <item x="48"/>
        <item x="49"/>
        <item x="50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dataField="1" showAll="0"/>
    <pivotField numFmtId="9" showAll="0"/>
    <pivotField numFmtId="9" showAll="0"/>
    <pivotField numFmtId="9" showAll="0"/>
    <pivotField numFmtId="9" showAll="0"/>
    <pivotField numFmtId="9" showAll="0"/>
    <pivotField showAll="0"/>
    <pivotField dataField="1" showAll="0"/>
    <pivotField dataField="1" showAll="0"/>
    <pivotField axis="axisPage" multipleItemSelectionAllowed="1" showAll="0">
      <items count="3">
        <item h="1" x="0"/>
        <item x="1"/>
        <item t="default"/>
      </items>
    </pivotField>
  </pivotFields>
  <rowFields count="3">
    <field x="0"/>
    <field x="1"/>
    <field x="2"/>
  </rowFields>
  <rowItems count="29">
    <i>
      <x/>
    </i>
    <i r="1">
      <x v="4"/>
    </i>
    <i r="2">
      <x v="48"/>
    </i>
    <i r="2">
      <x v="49"/>
    </i>
    <i r="2">
      <x v="50"/>
    </i>
    <i r="2">
      <x v="51"/>
    </i>
    <i r="1">
      <x v="5"/>
    </i>
    <i r="2">
      <x v="52"/>
    </i>
    <i r="2">
      <x v="53"/>
    </i>
    <i r="2">
      <x v="54"/>
    </i>
    <i r="2">
      <x v="55"/>
    </i>
    <i>
      <x v="1"/>
    </i>
    <i r="1">
      <x v="2"/>
    </i>
    <i r="2">
      <x v="7"/>
    </i>
    <i r="2">
      <x v="8"/>
    </i>
    <i r="2">
      <x v="9"/>
    </i>
    <i r="1">
      <x v="3"/>
    </i>
    <i r="2">
      <x v="20"/>
    </i>
    <i r="2">
      <x v="21"/>
    </i>
    <i r="2">
      <x v="22"/>
    </i>
    <i r="2">
      <x v="23"/>
    </i>
    <i r="2">
      <x v="24"/>
    </i>
    <i r="1">
      <x v="4"/>
    </i>
    <i r="2">
      <x v="29"/>
    </i>
    <i r="2">
      <x v="30"/>
    </i>
    <i r="2">
      <x v="31"/>
    </i>
    <i r="2">
      <x v="32"/>
    </i>
    <i r="2">
      <x v="33"/>
    </i>
    <i t="grand">
      <x/>
    </i>
  </rowItems>
  <colFields count="2">
    <field x="3"/>
    <field x="-2"/>
  </colFields>
  <colItems count="9">
    <i>
      <x v="1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13" hier="-1"/>
  </pageFields>
  <dataFields count="3">
    <dataField name="Sum of area_m2" fld="4" baseField="0" baseItem="0"/>
    <dataField name="Sum of pt_pc13" fld="11" baseField="1" baseItem="2"/>
    <dataField name="Sum of pt_pc14" fld="12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63BBF-5FBF-4D47-9E94-DDA401748144}" name="Table1" displayName="Table1" ref="A1:N64" totalsRowShown="0">
  <autoFilter ref="A1:N64" xr:uid="{0C963BBF-5FBF-4D47-9E94-DDA401748144}"/>
  <tableColumns count="14">
    <tableColumn id="1" xr3:uid="{E25753C6-A43C-4FE8-A734-C0DB4AF496E5}" name="Tower"/>
    <tableColumn id="2" xr3:uid="{C671761B-AEBE-4724-AD85-57EF3A726EB3}" name="Level"/>
    <tableColumn id="3" xr3:uid="{BF33C73D-3D54-4C83-8E5C-40E279268BB9}" name="zone"/>
    <tableColumn id="4" xr3:uid="{F8DA6878-047F-48B2-960F-9A7181765F48}" name="SOW"/>
    <tableColumn id="5" xr3:uid="{0BBA32DC-D6B1-4ECA-B9DC-FE413419658B}" name="area_m2"/>
    <tableColumn id="6" xr3:uid="{54C203F6-82E5-438E-A7E7-9775A069F389}" name="fwk_pc13" dataDxfId="8"/>
    <tableColumn id="7" xr3:uid="{08D3E858-EE1A-41C7-8738-80D49D355D34}" name="fwk_pc14" dataDxfId="7"/>
    <tableColumn id="8" xr3:uid="{A990D94F-833C-48AE-A8AD-946EA1EA05FD}" name="rebar_pc13" dataDxfId="6"/>
    <tableColumn id="9" xr3:uid="{0340CB43-AD1F-4B19-83A5-AB76579BA113}" name="rebar_pc14" dataDxfId="5"/>
    <tableColumn id="10" xr3:uid="{BA16A3F7-50C4-4F55-978F-25FB2BF6460D}" name="concrete_pc13" dataDxfId="4"/>
    <tableColumn id="11" xr3:uid="{56E4FB3E-52C3-4A5B-80F8-FC68A5606651}" name="concrete_pc14" dataDxfId="3"/>
    <tableColumn id="12" xr3:uid="{73B527DB-DA53-4CD0-AEBB-E84569471312}" name="pt_pc13" dataDxfId="2"/>
    <tableColumn id="13" xr3:uid="{C7B1F0AE-3805-4F5E-ABA9-9DCF97EBAFEE}" name="pt_pc14" dataDxfId="1"/>
    <tableColumn id="14" xr3:uid="{3D8D4D51-4E0A-4A1E-AA5D-A57E48DA63C0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09B-5262-41A6-9E63-1C20B0A1ADFD}">
  <dimension ref="A1:N64"/>
  <sheetViews>
    <sheetView topLeftCell="A8" workbookViewId="0">
      <selection activeCell="I24" sqref="D24:I25"/>
    </sheetView>
  </sheetViews>
  <sheetFormatPr defaultRowHeight="14.4" x14ac:dyDescent="0.3"/>
  <cols>
    <col min="5" max="5" width="10.21875" customWidth="1"/>
    <col min="6" max="7" width="11" customWidth="1"/>
    <col min="8" max="9" width="12.33203125" customWidth="1"/>
    <col min="10" max="11" width="15.21875" customWidth="1"/>
    <col min="12" max="13" width="9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87</v>
      </c>
    </row>
    <row r="2" spans="1:14" x14ac:dyDescent="0.3">
      <c r="A2" t="s">
        <v>13</v>
      </c>
      <c r="B2" t="s">
        <v>14</v>
      </c>
      <c r="C2" t="s">
        <v>15</v>
      </c>
      <c r="D2">
        <v>2</v>
      </c>
      <c r="E2">
        <v>109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t="s">
        <v>16</v>
      </c>
      <c r="M2" t="s">
        <v>16</v>
      </c>
      <c r="N2" s="1" t="s">
        <v>16</v>
      </c>
    </row>
    <row r="3" spans="1:14" x14ac:dyDescent="0.3">
      <c r="A3" t="s">
        <v>13</v>
      </c>
      <c r="B3" t="s">
        <v>17</v>
      </c>
      <c r="C3" t="s">
        <v>18</v>
      </c>
      <c r="D3">
        <v>2</v>
      </c>
      <c r="E3">
        <v>150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t="s">
        <v>16</v>
      </c>
      <c r="M3" t="s">
        <v>16</v>
      </c>
      <c r="N3" s="1" t="s">
        <v>16</v>
      </c>
    </row>
    <row r="4" spans="1:14" x14ac:dyDescent="0.3">
      <c r="A4" t="s">
        <v>13</v>
      </c>
      <c r="B4" t="s">
        <v>17</v>
      </c>
      <c r="C4" t="s">
        <v>19</v>
      </c>
      <c r="D4">
        <v>2</v>
      </c>
      <c r="E4">
        <v>193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t="s">
        <v>16</v>
      </c>
      <c r="M4" t="s">
        <v>16</v>
      </c>
      <c r="N4" s="1" t="s">
        <v>16</v>
      </c>
    </row>
    <row r="5" spans="1:14" x14ac:dyDescent="0.3">
      <c r="A5" t="s">
        <v>13</v>
      </c>
      <c r="B5" t="s">
        <v>20</v>
      </c>
      <c r="C5" t="s">
        <v>21</v>
      </c>
      <c r="D5">
        <v>2</v>
      </c>
      <c r="E5">
        <v>936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t="s">
        <v>16</v>
      </c>
      <c r="M5" t="s">
        <v>16</v>
      </c>
      <c r="N5" s="1" t="s">
        <v>16</v>
      </c>
    </row>
    <row r="6" spans="1:14" x14ac:dyDescent="0.3">
      <c r="A6" t="s">
        <v>13</v>
      </c>
      <c r="B6" t="s">
        <v>20</v>
      </c>
      <c r="C6" t="s">
        <v>22</v>
      </c>
      <c r="D6">
        <v>2</v>
      </c>
      <c r="E6">
        <v>171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t="s">
        <v>16</v>
      </c>
      <c r="M6" t="s">
        <v>16</v>
      </c>
      <c r="N6" s="1" t="s">
        <v>16</v>
      </c>
    </row>
    <row r="7" spans="1:14" x14ac:dyDescent="0.3">
      <c r="A7" t="s">
        <v>13</v>
      </c>
      <c r="B7" t="s">
        <v>20</v>
      </c>
      <c r="C7" t="s">
        <v>23</v>
      </c>
      <c r="D7">
        <v>2</v>
      </c>
      <c r="E7">
        <v>35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t="s">
        <v>16</v>
      </c>
      <c r="M7" t="s">
        <v>16</v>
      </c>
      <c r="N7" s="1" t="s">
        <v>16</v>
      </c>
    </row>
    <row r="8" spans="1:14" x14ac:dyDescent="0.3">
      <c r="A8" t="s">
        <v>13</v>
      </c>
      <c r="B8" t="s">
        <v>20</v>
      </c>
      <c r="C8" t="s">
        <v>24</v>
      </c>
      <c r="D8">
        <v>2</v>
      </c>
      <c r="E8">
        <v>147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t="s">
        <v>16</v>
      </c>
      <c r="M8" t="s">
        <v>16</v>
      </c>
      <c r="N8" s="1" t="s">
        <v>16</v>
      </c>
    </row>
    <row r="9" spans="1:14" x14ac:dyDescent="0.3">
      <c r="A9" t="s">
        <v>13</v>
      </c>
      <c r="B9" t="s">
        <v>20</v>
      </c>
      <c r="C9" t="s">
        <v>25</v>
      </c>
      <c r="D9">
        <v>2</v>
      </c>
      <c r="E9">
        <v>42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t="s">
        <v>16</v>
      </c>
      <c r="M9" t="s">
        <v>16</v>
      </c>
      <c r="N9" s="1" t="s">
        <v>16</v>
      </c>
    </row>
    <row r="10" spans="1:14" x14ac:dyDescent="0.3">
      <c r="A10" t="s">
        <v>13</v>
      </c>
      <c r="B10" t="s">
        <v>20</v>
      </c>
      <c r="C10" t="s">
        <v>26</v>
      </c>
      <c r="D10">
        <v>2</v>
      </c>
      <c r="E10">
        <v>34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t="s">
        <v>16</v>
      </c>
      <c r="M10" t="s">
        <v>16</v>
      </c>
      <c r="N10" s="1" t="s">
        <v>16</v>
      </c>
    </row>
    <row r="11" spans="1:14" x14ac:dyDescent="0.3">
      <c r="A11" t="s">
        <v>13</v>
      </c>
      <c r="B11" t="s">
        <v>20</v>
      </c>
      <c r="C11" t="s">
        <v>27</v>
      </c>
      <c r="D11">
        <v>2</v>
      </c>
      <c r="E11">
        <v>19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t="s">
        <v>16</v>
      </c>
      <c r="M11" t="s">
        <v>16</v>
      </c>
      <c r="N11" s="1" t="s">
        <v>16</v>
      </c>
    </row>
    <row r="12" spans="1:14" x14ac:dyDescent="0.3">
      <c r="A12" t="s">
        <v>13</v>
      </c>
      <c r="B12" t="s">
        <v>28</v>
      </c>
      <c r="C12" t="s">
        <v>29</v>
      </c>
      <c r="D12">
        <v>2</v>
      </c>
      <c r="E12">
        <v>723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t="s">
        <v>16</v>
      </c>
      <c r="M12" t="s">
        <v>16</v>
      </c>
      <c r="N12" s="1" t="s">
        <v>16</v>
      </c>
    </row>
    <row r="13" spans="1:14" x14ac:dyDescent="0.3">
      <c r="A13" t="s">
        <v>13</v>
      </c>
      <c r="B13" t="s">
        <v>28</v>
      </c>
      <c r="C13" t="s">
        <v>30</v>
      </c>
      <c r="D13">
        <v>2</v>
      </c>
      <c r="E13">
        <v>922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t="s">
        <v>16</v>
      </c>
      <c r="M13" t="s">
        <v>16</v>
      </c>
      <c r="N13" s="1" t="s">
        <v>16</v>
      </c>
    </row>
    <row r="14" spans="1:14" x14ac:dyDescent="0.3">
      <c r="A14" t="s">
        <v>13</v>
      </c>
      <c r="B14" t="s">
        <v>28</v>
      </c>
      <c r="C14" t="s">
        <v>31</v>
      </c>
      <c r="D14">
        <v>2</v>
      </c>
      <c r="E14">
        <v>214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t="s">
        <v>16</v>
      </c>
      <c r="M14" t="s">
        <v>16</v>
      </c>
      <c r="N14" s="1" t="s">
        <v>16</v>
      </c>
    </row>
    <row r="15" spans="1:14" x14ac:dyDescent="0.3">
      <c r="A15" t="s">
        <v>13</v>
      </c>
      <c r="B15" t="s">
        <v>28</v>
      </c>
      <c r="C15" t="s">
        <v>32</v>
      </c>
      <c r="D15">
        <v>5</v>
      </c>
      <c r="E15">
        <v>812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t="s">
        <v>16</v>
      </c>
      <c r="M15" t="s">
        <v>16</v>
      </c>
      <c r="N15" s="1" t="s">
        <v>16</v>
      </c>
    </row>
    <row r="16" spans="1:14" x14ac:dyDescent="0.3">
      <c r="A16" t="s">
        <v>13</v>
      </c>
      <c r="B16" t="s">
        <v>28</v>
      </c>
      <c r="C16" t="s">
        <v>33</v>
      </c>
      <c r="D16">
        <v>5</v>
      </c>
      <c r="E16">
        <v>536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t="s">
        <v>16</v>
      </c>
      <c r="M16" t="s">
        <v>16</v>
      </c>
      <c r="N16" s="1" t="s">
        <v>16</v>
      </c>
    </row>
    <row r="17" spans="1:14" x14ac:dyDescent="0.3">
      <c r="A17" t="s">
        <v>13</v>
      </c>
      <c r="B17" t="s">
        <v>28</v>
      </c>
      <c r="C17" t="s">
        <v>34</v>
      </c>
      <c r="D17">
        <v>2</v>
      </c>
      <c r="E17">
        <v>268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t="s">
        <v>16</v>
      </c>
      <c r="M17" t="s">
        <v>16</v>
      </c>
      <c r="N17" s="1" t="s">
        <v>16</v>
      </c>
    </row>
    <row r="18" spans="1:14" x14ac:dyDescent="0.3">
      <c r="A18" t="s">
        <v>13</v>
      </c>
      <c r="B18" t="s">
        <v>28</v>
      </c>
      <c r="C18" t="s">
        <v>35</v>
      </c>
      <c r="D18">
        <v>5</v>
      </c>
      <c r="E18">
        <v>266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t="s">
        <v>16</v>
      </c>
      <c r="M18" t="s">
        <v>16</v>
      </c>
      <c r="N18" s="1" t="s">
        <v>16</v>
      </c>
    </row>
    <row r="19" spans="1:14" x14ac:dyDescent="0.3">
      <c r="A19" t="s">
        <v>13</v>
      </c>
      <c r="B19" t="s">
        <v>28</v>
      </c>
      <c r="C19" t="s">
        <v>36</v>
      </c>
      <c r="D19">
        <v>2</v>
      </c>
      <c r="E19">
        <v>566</v>
      </c>
      <c r="F19" s="1">
        <v>1</v>
      </c>
      <c r="G19" s="1">
        <v>1</v>
      </c>
      <c r="H19" s="1">
        <v>0.8</v>
      </c>
      <c r="I19" s="1">
        <v>1</v>
      </c>
      <c r="J19" s="1">
        <v>0</v>
      </c>
      <c r="K19" s="1">
        <v>1</v>
      </c>
      <c r="L19" t="s">
        <v>16</v>
      </c>
      <c r="M19" t="s">
        <v>16</v>
      </c>
      <c r="N19" s="1" t="s">
        <v>16</v>
      </c>
    </row>
    <row r="20" spans="1:14" x14ac:dyDescent="0.3">
      <c r="A20" t="s">
        <v>13</v>
      </c>
      <c r="B20" t="s">
        <v>28</v>
      </c>
      <c r="C20" t="s">
        <v>37</v>
      </c>
      <c r="D20">
        <v>2</v>
      </c>
      <c r="E20">
        <v>479</v>
      </c>
      <c r="F20" s="1">
        <v>0</v>
      </c>
      <c r="G20" s="1">
        <v>0.7</v>
      </c>
      <c r="H20" s="1">
        <v>0.3</v>
      </c>
      <c r="I20" s="1">
        <v>0.7</v>
      </c>
      <c r="J20" s="1">
        <v>0</v>
      </c>
      <c r="K20" s="1">
        <v>0.7</v>
      </c>
      <c r="L20" t="s">
        <v>16</v>
      </c>
      <c r="M20" t="s">
        <v>16</v>
      </c>
      <c r="N20" s="1" t="s">
        <v>16</v>
      </c>
    </row>
    <row r="21" spans="1:14" x14ac:dyDescent="0.3">
      <c r="A21" t="s">
        <v>13</v>
      </c>
      <c r="B21" t="s">
        <v>28</v>
      </c>
      <c r="C21" t="s">
        <v>38</v>
      </c>
      <c r="D21">
        <v>2</v>
      </c>
      <c r="E21">
        <v>334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t="s">
        <v>16</v>
      </c>
      <c r="M21" t="s">
        <v>16</v>
      </c>
      <c r="N21" s="1" t="s">
        <v>16</v>
      </c>
    </row>
    <row r="22" spans="1:14" x14ac:dyDescent="0.3">
      <c r="A22" t="s">
        <v>13</v>
      </c>
      <c r="B22" t="s">
        <v>39</v>
      </c>
      <c r="C22" t="s">
        <v>40</v>
      </c>
      <c r="D22">
        <v>6</v>
      </c>
      <c r="E22">
        <v>111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t="s">
        <v>16</v>
      </c>
      <c r="M22" t="s">
        <v>16</v>
      </c>
      <c r="N22" s="1" t="s">
        <v>16</v>
      </c>
    </row>
    <row r="23" spans="1:14" x14ac:dyDescent="0.3">
      <c r="A23" t="s">
        <v>13</v>
      </c>
      <c r="B23" t="s">
        <v>39</v>
      </c>
      <c r="C23" t="s">
        <v>41</v>
      </c>
      <c r="D23">
        <v>2</v>
      </c>
      <c r="E23">
        <v>578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t="s">
        <v>16</v>
      </c>
      <c r="M23" t="s">
        <v>16</v>
      </c>
      <c r="N23" s="1" t="s">
        <v>16</v>
      </c>
    </row>
    <row r="24" spans="1:14" x14ac:dyDescent="0.3">
      <c r="A24" t="s">
        <v>13</v>
      </c>
      <c r="B24" t="s">
        <v>39</v>
      </c>
      <c r="C24" t="s">
        <v>42</v>
      </c>
      <c r="D24">
        <v>6</v>
      </c>
      <c r="E24">
        <v>901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 t="s">
        <v>88</v>
      </c>
    </row>
    <row r="25" spans="1:14" x14ac:dyDescent="0.3">
      <c r="A25" t="s">
        <v>13</v>
      </c>
      <c r="B25" t="s">
        <v>39</v>
      </c>
      <c r="C25" t="s">
        <v>43</v>
      </c>
      <c r="D25">
        <v>6</v>
      </c>
      <c r="E25">
        <v>366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 t="s">
        <v>88</v>
      </c>
    </row>
    <row r="26" spans="1:14" x14ac:dyDescent="0.3">
      <c r="A26" t="s">
        <v>13</v>
      </c>
      <c r="B26" t="s">
        <v>39</v>
      </c>
      <c r="C26" t="s">
        <v>44</v>
      </c>
      <c r="D26">
        <v>6</v>
      </c>
      <c r="E26">
        <v>370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 t="s">
        <v>88</v>
      </c>
    </row>
    <row r="27" spans="1:14" x14ac:dyDescent="0.3">
      <c r="A27" t="s">
        <v>13</v>
      </c>
      <c r="B27" t="s">
        <v>39</v>
      </c>
      <c r="C27" t="s">
        <v>45</v>
      </c>
      <c r="D27">
        <v>6</v>
      </c>
      <c r="E27">
        <v>430</v>
      </c>
      <c r="F27" s="1">
        <v>0.7</v>
      </c>
      <c r="G27" s="1">
        <v>0.7</v>
      </c>
      <c r="H27" s="1">
        <v>0.7</v>
      </c>
      <c r="I27" s="1">
        <v>0.7</v>
      </c>
      <c r="J27" s="1">
        <v>0.7</v>
      </c>
      <c r="K27" s="1">
        <v>0.7</v>
      </c>
      <c r="L27" t="s">
        <v>16</v>
      </c>
      <c r="M27" t="s">
        <v>16</v>
      </c>
      <c r="N27" s="1" t="s">
        <v>16</v>
      </c>
    </row>
    <row r="28" spans="1:14" x14ac:dyDescent="0.3">
      <c r="A28" t="s">
        <v>13</v>
      </c>
      <c r="B28" t="s">
        <v>39</v>
      </c>
      <c r="C28" t="s">
        <v>46</v>
      </c>
      <c r="D28">
        <v>6</v>
      </c>
      <c r="E28">
        <v>565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t="s">
        <v>16</v>
      </c>
      <c r="M28" t="s">
        <v>16</v>
      </c>
      <c r="N28" s="1" t="s">
        <v>16</v>
      </c>
    </row>
    <row r="29" spans="1:14" x14ac:dyDescent="0.3">
      <c r="A29" t="s">
        <v>13</v>
      </c>
      <c r="B29" t="s">
        <v>39</v>
      </c>
      <c r="C29" t="s">
        <v>47</v>
      </c>
      <c r="D29">
        <v>2</v>
      </c>
      <c r="E29">
        <v>45</v>
      </c>
      <c r="F29" s="1">
        <v>1</v>
      </c>
      <c r="G29" s="1">
        <v>1</v>
      </c>
      <c r="H29" s="1">
        <v>1</v>
      </c>
      <c r="I29" s="1">
        <v>1</v>
      </c>
      <c r="J29" s="1">
        <v>0</v>
      </c>
      <c r="K29" s="1">
        <v>0</v>
      </c>
      <c r="L29" t="s">
        <v>16</v>
      </c>
      <c r="M29" t="s">
        <v>16</v>
      </c>
      <c r="N29" s="1" t="s">
        <v>16</v>
      </c>
    </row>
    <row r="30" spans="1:14" x14ac:dyDescent="0.3">
      <c r="A30" t="s">
        <v>13</v>
      </c>
      <c r="B30" t="s">
        <v>39</v>
      </c>
      <c r="C30" t="s">
        <v>48</v>
      </c>
      <c r="D30">
        <v>2</v>
      </c>
      <c r="E30">
        <v>73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t="s">
        <v>16</v>
      </c>
      <c r="M30" t="s">
        <v>16</v>
      </c>
      <c r="N30" s="1" t="s">
        <v>16</v>
      </c>
    </row>
    <row r="31" spans="1:14" x14ac:dyDescent="0.3">
      <c r="A31" t="s">
        <v>13</v>
      </c>
      <c r="B31" t="s">
        <v>39</v>
      </c>
      <c r="C31" t="s">
        <v>49</v>
      </c>
      <c r="D31">
        <v>6</v>
      </c>
      <c r="E31">
        <v>26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t="s">
        <v>16</v>
      </c>
      <c r="M31" t="s">
        <v>16</v>
      </c>
      <c r="N31" s="1" t="s">
        <v>16</v>
      </c>
    </row>
    <row r="32" spans="1:14" x14ac:dyDescent="0.3">
      <c r="A32" t="s">
        <v>13</v>
      </c>
      <c r="B32" t="s">
        <v>39</v>
      </c>
      <c r="C32" t="s">
        <v>50</v>
      </c>
      <c r="D32">
        <v>2</v>
      </c>
      <c r="E32">
        <v>40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t="s">
        <v>16</v>
      </c>
      <c r="M32" t="s">
        <v>16</v>
      </c>
      <c r="N32" s="1" t="s">
        <v>16</v>
      </c>
    </row>
    <row r="33" spans="1:14" x14ac:dyDescent="0.3">
      <c r="A33" t="s">
        <v>13</v>
      </c>
      <c r="B33" t="s">
        <v>39</v>
      </c>
      <c r="C33" t="s">
        <v>51</v>
      </c>
      <c r="D33">
        <v>2</v>
      </c>
      <c r="E33">
        <v>95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t="s">
        <v>16</v>
      </c>
      <c r="M33" t="s">
        <v>16</v>
      </c>
      <c r="N33" s="1" t="s">
        <v>16</v>
      </c>
    </row>
    <row r="34" spans="1:14" x14ac:dyDescent="0.3">
      <c r="A34" t="s">
        <v>13</v>
      </c>
      <c r="B34" t="s">
        <v>39</v>
      </c>
      <c r="C34" t="s">
        <v>52</v>
      </c>
      <c r="D34">
        <v>2</v>
      </c>
      <c r="E34">
        <v>48</v>
      </c>
      <c r="F34" s="1">
        <v>1</v>
      </c>
      <c r="G34" s="1">
        <v>1</v>
      </c>
      <c r="H34" s="1">
        <v>1</v>
      </c>
      <c r="I34" s="1">
        <v>1</v>
      </c>
      <c r="J34" s="1">
        <v>0</v>
      </c>
      <c r="K34" s="1">
        <v>0</v>
      </c>
      <c r="L34" t="s">
        <v>16</v>
      </c>
      <c r="M34" t="s">
        <v>16</v>
      </c>
      <c r="N34" s="1" t="s">
        <v>16</v>
      </c>
    </row>
    <row r="35" spans="1:14" x14ac:dyDescent="0.3">
      <c r="A35" t="s">
        <v>13</v>
      </c>
      <c r="B35" t="s">
        <v>39</v>
      </c>
      <c r="C35" t="s">
        <v>53</v>
      </c>
      <c r="D35">
        <v>2</v>
      </c>
      <c r="E35">
        <v>114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t="s">
        <v>16</v>
      </c>
      <c r="M35" t="s">
        <v>16</v>
      </c>
      <c r="N35" s="1" t="s">
        <v>16</v>
      </c>
    </row>
    <row r="36" spans="1:14" x14ac:dyDescent="0.3">
      <c r="A36" t="s">
        <v>13</v>
      </c>
      <c r="B36" t="s">
        <v>54</v>
      </c>
      <c r="C36" t="s">
        <v>55</v>
      </c>
      <c r="D36">
        <v>6</v>
      </c>
      <c r="E36">
        <v>1605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0.9</v>
      </c>
      <c r="M36" s="1">
        <v>0.9</v>
      </c>
      <c r="N36" s="1" t="s">
        <v>88</v>
      </c>
    </row>
    <row r="37" spans="1:14" x14ac:dyDescent="0.3">
      <c r="A37" t="s">
        <v>13</v>
      </c>
      <c r="B37" t="s">
        <v>54</v>
      </c>
      <c r="C37" t="s">
        <v>56</v>
      </c>
      <c r="D37">
        <v>6</v>
      </c>
      <c r="E37">
        <v>1265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0.9</v>
      </c>
      <c r="M37" s="1">
        <v>0.9</v>
      </c>
      <c r="N37" s="1" t="s">
        <v>88</v>
      </c>
    </row>
    <row r="38" spans="1:14" x14ac:dyDescent="0.3">
      <c r="A38" t="s">
        <v>13</v>
      </c>
      <c r="B38" t="s">
        <v>54</v>
      </c>
      <c r="C38" t="s">
        <v>57</v>
      </c>
      <c r="D38">
        <v>6</v>
      </c>
      <c r="E38">
        <v>1687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0.9</v>
      </c>
      <c r="M38" s="1">
        <v>0.9</v>
      </c>
      <c r="N38" s="1" t="s">
        <v>88</v>
      </c>
    </row>
    <row r="39" spans="1:14" x14ac:dyDescent="0.3">
      <c r="A39" t="s">
        <v>13</v>
      </c>
      <c r="B39" t="s">
        <v>54</v>
      </c>
      <c r="C39" t="s">
        <v>58</v>
      </c>
      <c r="D39">
        <v>6</v>
      </c>
      <c r="E39">
        <v>1372</v>
      </c>
      <c r="F39" s="1">
        <v>0.4</v>
      </c>
      <c r="G39" s="1">
        <v>0.4</v>
      </c>
      <c r="H39" s="1">
        <v>0.4</v>
      </c>
      <c r="I39" s="1">
        <v>0.4</v>
      </c>
      <c r="J39" s="1">
        <v>0</v>
      </c>
      <c r="K39" s="1">
        <v>0</v>
      </c>
      <c r="L39" s="1">
        <v>0</v>
      </c>
      <c r="M39" s="1">
        <v>0</v>
      </c>
      <c r="N39" s="1" t="s">
        <v>88</v>
      </c>
    </row>
    <row r="40" spans="1:14" x14ac:dyDescent="0.3">
      <c r="A40" t="s">
        <v>13</v>
      </c>
      <c r="B40" t="s">
        <v>54</v>
      </c>
      <c r="C40" t="s">
        <v>59</v>
      </c>
      <c r="D40">
        <v>6</v>
      </c>
      <c r="E40">
        <v>1773</v>
      </c>
      <c r="F40" s="1">
        <v>0.09</v>
      </c>
      <c r="G40" s="1">
        <v>1</v>
      </c>
      <c r="H40" s="1">
        <v>0.09</v>
      </c>
      <c r="I40" s="1">
        <v>0.09</v>
      </c>
      <c r="J40" s="1">
        <v>0.09</v>
      </c>
      <c r="K40" s="1">
        <v>0.09</v>
      </c>
      <c r="L40" s="1">
        <v>0.09</v>
      </c>
      <c r="M40" s="1">
        <v>0.09</v>
      </c>
      <c r="N40" s="1" t="s">
        <v>88</v>
      </c>
    </row>
    <row r="41" spans="1:14" x14ac:dyDescent="0.3">
      <c r="A41" t="s">
        <v>13</v>
      </c>
      <c r="B41" t="s">
        <v>54</v>
      </c>
      <c r="C41" t="s">
        <v>60</v>
      </c>
      <c r="D41">
        <v>6</v>
      </c>
      <c r="E41">
        <v>803</v>
      </c>
      <c r="F41" s="1">
        <v>0.35</v>
      </c>
      <c r="G41" s="1">
        <v>0.35</v>
      </c>
      <c r="H41" s="1">
        <v>0.35</v>
      </c>
      <c r="I41" s="1">
        <v>0.35</v>
      </c>
      <c r="J41" s="1">
        <v>0.35</v>
      </c>
      <c r="K41" s="1">
        <v>0.35</v>
      </c>
      <c r="L41" t="s">
        <v>16</v>
      </c>
      <c r="M41" t="s">
        <v>16</v>
      </c>
      <c r="N41" s="1" t="s">
        <v>16</v>
      </c>
    </row>
    <row r="42" spans="1:14" x14ac:dyDescent="0.3">
      <c r="A42" t="s">
        <v>13</v>
      </c>
      <c r="B42" t="s">
        <v>54</v>
      </c>
      <c r="C42" t="s">
        <v>61</v>
      </c>
      <c r="D42">
        <v>6</v>
      </c>
      <c r="E42">
        <v>498</v>
      </c>
      <c r="F42" s="1">
        <v>0</v>
      </c>
      <c r="G42" s="1">
        <v>1</v>
      </c>
      <c r="H42" s="1">
        <v>0</v>
      </c>
      <c r="I42" s="1">
        <v>1</v>
      </c>
      <c r="J42" s="1">
        <v>0</v>
      </c>
      <c r="K42" s="1">
        <v>0</v>
      </c>
      <c r="L42" t="s">
        <v>16</v>
      </c>
      <c r="M42" t="s">
        <v>16</v>
      </c>
      <c r="N42" s="1" t="s">
        <v>16</v>
      </c>
    </row>
    <row r="43" spans="1:14" x14ac:dyDescent="0.3">
      <c r="A43" t="s">
        <v>13</v>
      </c>
      <c r="B43" t="s">
        <v>62</v>
      </c>
      <c r="C43" t="s">
        <v>63</v>
      </c>
      <c r="D43">
        <v>6</v>
      </c>
      <c r="E43">
        <v>663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t="s">
        <v>16</v>
      </c>
      <c r="M43" t="s">
        <v>16</v>
      </c>
      <c r="N43" s="1" t="s">
        <v>16</v>
      </c>
    </row>
    <row r="44" spans="1:14" x14ac:dyDescent="0.3">
      <c r="A44" t="s">
        <v>13</v>
      </c>
      <c r="B44" t="s">
        <v>62</v>
      </c>
      <c r="C44" t="s">
        <v>64</v>
      </c>
      <c r="D44">
        <v>6</v>
      </c>
      <c r="E44">
        <v>1446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0.9</v>
      </c>
      <c r="M44" s="1">
        <v>0.9</v>
      </c>
      <c r="N44" s="1" t="s">
        <v>88</v>
      </c>
    </row>
    <row r="45" spans="1:14" x14ac:dyDescent="0.3">
      <c r="A45" t="s">
        <v>13</v>
      </c>
      <c r="B45" t="s">
        <v>62</v>
      </c>
      <c r="C45" t="s">
        <v>65</v>
      </c>
      <c r="D45">
        <v>6</v>
      </c>
      <c r="E45">
        <v>1280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0.9</v>
      </c>
      <c r="M45" s="1">
        <v>0.9</v>
      </c>
      <c r="N45" s="1" t="s">
        <v>88</v>
      </c>
    </row>
    <row r="46" spans="1:14" x14ac:dyDescent="0.3">
      <c r="A46" t="s">
        <v>13</v>
      </c>
      <c r="B46" t="s">
        <v>62</v>
      </c>
      <c r="C46" t="s">
        <v>66</v>
      </c>
      <c r="D46">
        <v>6</v>
      </c>
      <c r="E46">
        <v>1925</v>
      </c>
      <c r="F46" s="1">
        <v>1</v>
      </c>
      <c r="G46" s="1">
        <v>1</v>
      </c>
      <c r="H46" s="1">
        <v>0.5</v>
      </c>
      <c r="I46" s="1">
        <v>1</v>
      </c>
      <c r="J46" s="1">
        <v>0</v>
      </c>
      <c r="K46" s="1">
        <v>0</v>
      </c>
      <c r="L46" s="1">
        <v>0.5</v>
      </c>
      <c r="M46" s="1">
        <v>0.75</v>
      </c>
      <c r="N46" s="1" t="s">
        <v>88</v>
      </c>
    </row>
    <row r="47" spans="1:14" x14ac:dyDescent="0.3">
      <c r="A47" t="s">
        <v>13</v>
      </c>
      <c r="B47" t="s">
        <v>62</v>
      </c>
      <c r="C47" t="s">
        <v>67</v>
      </c>
      <c r="D47">
        <v>6</v>
      </c>
      <c r="E47">
        <v>1314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 t="s">
        <v>88</v>
      </c>
    </row>
    <row r="48" spans="1:14" x14ac:dyDescent="0.3">
      <c r="A48" t="s">
        <v>13</v>
      </c>
      <c r="B48" t="s">
        <v>62</v>
      </c>
      <c r="C48" t="s">
        <v>68</v>
      </c>
      <c r="D48">
        <v>6</v>
      </c>
      <c r="E48">
        <v>2034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 t="s">
        <v>88</v>
      </c>
    </row>
    <row r="49" spans="1:14" x14ac:dyDescent="0.3">
      <c r="A49" t="s">
        <v>69</v>
      </c>
      <c r="B49" t="s">
        <v>14</v>
      </c>
      <c r="C49" t="s">
        <v>15</v>
      </c>
      <c r="D49">
        <v>2</v>
      </c>
      <c r="E49">
        <v>259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t="s">
        <v>16</v>
      </c>
      <c r="M49" t="s">
        <v>16</v>
      </c>
      <c r="N49" s="1" t="s">
        <v>16</v>
      </c>
    </row>
    <row r="50" spans="1:14" x14ac:dyDescent="0.3">
      <c r="A50" t="s">
        <v>69</v>
      </c>
      <c r="B50" t="s">
        <v>17</v>
      </c>
      <c r="C50" t="s">
        <v>18</v>
      </c>
      <c r="D50">
        <v>2</v>
      </c>
      <c r="E50">
        <v>283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t="s">
        <v>16</v>
      </c>
      <c r="M50" t="s">
        <v>16</v>
      </c>
      <c r="N50" s="1" t="s">
        <v>16</v>
      </c>
    </row>
    <row r="51" spans="1:14" x14ac:dyDescent="0.3">
      <c r="A51" t="s">
        <v>69</v>
      </c>
      <c r="B51" t="s">
        <v>17</v>
      </c>
      <c r="C51" t="s">
        <v>19</v>
      </c>
      <c r="D51">
        <v>2</v>
      </c>
      <c r="E51">
        <v>57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t="s">
        <v>16</v>
      </c>
      <c r="M51" t="s">
        <v>16</v>
      </c>
      <c r="N51" s="1" t="s">
        <v>16</v>
      </c>
    </row>
    <row r="52" spans="1:14" x14ac:dyDescent="0.3">
      <c r="A52" t="s">
        <v>69</v>
      </c>
      <c r="B52" t="s">
        <v>20</v>
      </c>
      <c r="C52" t="s">
        <v>21</v>
      </c>
      <c r="D52">
        <v>2</v>
      </c>
      <c r="E52">
        <v>386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t="s">
        <v>16</v>
      </c>
      <c r="M52" t="s">
        <v>16</v>
      </c>
      <c r="N52" s="1" t="s">
        <v>16</v>
      </c>
    </row>
    <row r="53" spans="1:14" x14ac:dyDescent="0.3">
      <c r="A53" t="s">
        <v>69</v>
      </c>
      <c r="B53" t="s">
        <v>20</v>
      </c>
      <c r="C53" t="s">
        <v>70</v>
      </c>
      <c r="D53">
        <v>2</v>
      </c>
      <c r="E53">
        <v>75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t="s">
        <v>16</v>
      </c>
      <c r="M53" t="s">
        <v>16</v>
      </c>
      <c r="N53" s="1" t="s">
        <v>16</v>
      </c>
    </row>
    <row r="54" spans="1:14" x14ac:dyDescent="0.3">
      <c r="A54" t="s">
        <v>69</v>
      </c>
      <c r="B54" t="s">
        <v>28</v>
      </c>
      <c r="C54" t="s">
        <v>71</v>
      </c>
      <c r="D54">
        <v>2</v>
      </c>
      <c r="E54">
        <v>388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t="s">
        <v>16</v>
      </c>
      <c r="M54" t="s">
        <v>16</v>
      </c>
      <c r="N54" s="1" t="s">
        <v>16</v>
      </c>
    </row>
    <row r="55" spans="1:14" x14ac:dyDescent="0.3">
      <c r="A55" t="s">
        <v>69</v>
      </c>
      <c r="B55" t="s">
        <v>28</v>
      </c>
      <c r="C55" t="s">
        <v>72</v>
      </c>
      <c r="D55">
        <v>2</v>
      </c>
      <c r="E55">
        <v>44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t="s">
        <v>16</v>
      </c>
      <c r="M55" t="s">
        <v>16</v>
      </c>
      <c r="N55" s="1" t="s">
        <v>16</v>
      </c>
    </row>
    <row r="56" spans="1:14" x14ac:dyDescent="0.3">
      <c r="A56" t="s">
        <v>69</v>
      </c>
      <c r="B56" t="s">
        <v>28</v>
      </c>
      <c r="C56" t="s">
        <v>73</v>
      </c>
      <c r="D56">
        <v>2</v>
      </c>
      <c r="E56">
        <v>82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t="s">
        <v>16</v>
      </c>
      <c r="M56" t="s">
        <v>16</v>
      </c>
      <c r="N56" s="1" t="s">
        <v>16</v>
      </c>
    </row>
    <row r="57" spans="1:14" x14ac:dyDescent="0.3">
      <c r="A57" t="s">
        <v>69</v>
      </c>
      <c r="B57" t="s">
        <v>62</v>
      </c>
      <c r="C57" t="s">
        <v>74</v>
      </c>
      <c r="D57">
        <v>4</v>
      </c>
      <c r="E57">
        <v>729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L57" s="1">
        <v>0.9</v>
      </c>
      <c r="M57" s="1">
        <v>0.9</v>
      </c>
      <c r="N57" s="1" t="s">
        <v>88</v>
      </c>
    </row>
    <row r="58" spans="1:14" x14ac:dyDescent="0.3">
      <c r="A58" t="s">
        <v>69</v>
      </c>
      <c r="B58" t="s">
        <v>62</v>
      </c>
      <c r="C58" t="s">
        <v>75</v>
      </c>
      <c r="D58">
        <v>4</v>
      </c>
      <c r="E58">
        <v>343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 t="s">
        <v>88</v>
      </c>
    </row>
    <row r="59" spans="1:14" x14ac:dyDescent="0.3">
      <c r="A59" t="s">
        <v>69</v>
      </c>
      <c r="B59" t="s">
        <v>62</v>
      </c>
      <c r="C59" t="s">
        <v>76</v>
      </c>
      <c r="D59">
        <v>4</v>
      </c>
      <c r="E59">
        <v>838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0.9</v>
      </c>
      <c r="M59" s="1">
        <v>0.9</v>
      </c>
      <c r="N59" s="1" t="s">
        <v>88</v>
      </c>
    </row>
    <row r="60" spans="1:14" x14ac:dyDescent="0.3">
      <c r="A60" t="s">
        <v>69</v>
      </c>
      <c r="B60" t="s">
        <v>62</v>
      </c>
      <c r="C60" t="s">
        <v>77</v>
      </c>
      <c r="D60">
        <v>4</v>
      </c>
      <c r="E60">
        <v>791</v>
      </c>
      <c r="F60" s="1">
        <v>1</v>
      </c>
      <c r="G60" s="1">
        <v>1</v>
      </c>
      <c r="H60" s="1">
        <v>1</v>
      </c>
      <c r="I60" s="1">
        <v>1</v>
      </c>
      <c r="J60" s="1">
        <v>0</v>
      </c>
      <c r="K60" s="1">
        <v>1</v>
      </c>
      <c r="L60" s="1">
        <v>0.75</v>
      </c>
      <c r="M60" s="1">
        <v>0.75</v>
      </c>
      <c r="N60" s="1" t="s">
        <v>88</v>
      </c>
    </row>
    <row r="61" spans="1:14" x14ac:dyDescent="0.3">
      <c r="A61" t="s">
        <v>69</v>
      </c>
      <c r="B61" t="s">
        <v>78</v>
      </c>
      <c r="C61" t="s">
        <v>79</v>
      </c>
      <c r="D61">
        <v>4</v>
      </c>
      <c r="E61">
        <v>638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0.9</v>
      </c>
      <c r="M61" s="1">
        <v>0.9</v>
      </c>
      <c r="N61" s="1" t="s">
        <v>88</v>
      </c>
    </row>
    <row r="62" spans="1:14" x14ac:dyDescent="0.3">
      <c r="A62" t="s">
        <v>69</v>
      </c>
      <c r="B62" t="s">
        <v>78</v>
      </c>
      <c r="C62" t="s">
        <v>80</v>
      </c>
      <c r="D62">
        <v>4</v>
      </c>
      <c r="E62">
        <v>1182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0.9</v>
      </c>
      <c r="M62" s="1">
        <v>1</v>
      </c>
      <c r="N62" s="1" t="s">
        <v>88</v>
      </c>
    </row>
    <row r="63" spans="1:14" x14ac:dyDescent="0.3">
      <c r="A63" t="s">
        <v>69</v>
      </c>
      <c r="B63" t="s">
        <v>78</v>
      </c>
      <c r="C63" t="s">
        <v>81</v>
      </c>
      <c r="D63">
        <v>4</v>
      </c>
      <c r="E63">
        <v>858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 t="s">
        <v>88</v>
      </c>
    </row>
    <row r="64" spans="1:14" x14ac:dyDescent="0.3">
      <c r="A64" t="s">
        <v>69</v>
      </c>
      <c r="B64" t="s">
        <v>78</v>
      </c>
      <c r="C64" t="s">
        <v>82</v>
      </c>
      <c r="D64">
        <v>4</v>
      </c>
      <c r="E64">
        <v>1128</v>
      </c>
      <c r="F64" s="1">
        <v>0</v>
      </c>
      <c r="G64" s="1">
        <v>0.21</v>
      </c>
      <c r="H64" s="1">
        <v>0</v>
      </c>
      <c r="I64" s="1">
        <v>0.21</v>
      </c>
      <c r="J64" s="1">
        <v>0</v>
      </c>
      <c r="K64" s="1">
        <v>0</v>
      </c>
      <c r="L64" s="1">
        <v>0</v>
      </c>
      <c r="M64" s="1">
        <v>0.21</v>
      </c>
      <c r="N64" s="1" t="s">
        <v>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635C-D1D2-4810-922E-90B5899D99E6}">
  <dimension ref="A1:J34"/>
  <sheetViews>
    <sheetView topLeftCell="A10" workbookViewId="0">
      <selection activeCell="G19" sqref="G19:G33"/>
    </sheetView>
  </sheetViews>
  <sheetFormatPr defaultRowHeight="14.4" x14ac:dyDescent="0.3"/>
  <cols>
    <col min="1" max="1" width="13.44140625" bestFit="1" customWidth="1"/>
    <col min="2" max="2" width="15.5546875" bestFit="1" customWidth="1"/>
    <col min="3" max="4" width="14.33203125" bestFit="1" customWidth="1"/>
    <col min="5" max="5" width="14.88671875" bestFit="1" customWidth="1"/>
    <col min="6" max="7" width="14.33203125" bestFit="1" customWidth="1"/>
    <col min="8" max="8" width="19.6640625" bestFit="1" customWidth="1"/>
    <col min="9" max="10" width="19.109375" bestFit="1" customWidth="1"/>
    <col min="11" max="11" width="21.88671875" bestFit="1" customWidth="1"/>
    <col min="12" max="13" width="24.77734375" bestFit="1" customWidth="1"/>
    <col min="14" max="14" width="21.88671875" bestFit="1" customWidth="1"/>
    <col min="15" max="16" width="24.77734375" bestFit="1" customWidth="1"/>
    <col min="17" max="17" width="21.88671875" bestFit="1" customWidth="1"/>
    <col min="18" max="19" width="24.77734375" bestFit="1" customWidth="1"/>
    <col min="20" max="20" width="21.88671875" bestFit="1" customWidth="1"/>
    <col min="21" max="22" width="24.77734375" bestFit="1" customWidth="1"/>
  </cols>
  <sheetData>
    <row r="1" spans="1:10" x14ac:dyDescent="0.3">
      <c r="A1" s="2" t="s">
        <v>87</v>
      </c>
      <c r="B1" t="s">
        <v>88</v>
      </c>
    </row>
    <row r="3" spans="1:10" x14ac:dyDescent="0.3">
      <c r="B3" s="2" t="s">
        <v>86</v>
      </c>
    </row>
    <row r="4" spans="1:10" x14ac:dyDescent="0.3">
      <c r="B4">
        <v>4</v>
      </c>
      <c r="E4">
        <v>6</v>
      </c>
      <c r="H4" t="s">
        <v>89</v>
      </c>
      <c r="I4" t="s">
        <v>93</v>
      </c>
      <c r="J4" t="s">
        <v>95</v>
      </c>
    </row>
    <row r="5" spans="1:10" x14ac:dyDescent="0.3">
      <c r="A5" s="2" t="s">
        <v>83</v>
      </c>
      <c r="B5" t="s">
        <v>85</v>
      </c>
      <c r="C5" t="s">
        <v>94</v>
      </c>
      <c r="D5" t="s">
        <v>96</v>
      </c>
      <c r="E5" t="s">
        <v>85</v>
      </c>
      <c r="F5" t="s">
        <v>94</v>
      </c>
      <c r="G5" t="s">
        <v>96</v>
      </c>
    </row>
    <row r="6" spans="1:10" x14ac:dyDescent="0.3">
      <c r="A6" s="3" t="s">
        <v>69</v>
      </c>
      <c r="B6" s="4">
        <v>6507</v>
      </c>
      <c r="C6" s="4">
        <v>5.3500000000000005</v>
      </c>
      <c r="D6" s="4">
        <v>5.66</v>
      </c>
      <c r="E6" s="4"/>
      <c r="F6" s="4"/>
      <c r="G6" s="4"/>
      <c r="H6" s="4">
        <v>6507</v>
      </c>
      <c r="I6" s="4">
        <v>5.3500000000000005</v>
      </c>
      <c r="J6" s="4">
        <v>5.66</v>
      </c>
    </row>
    <row r="7" spans="1:10" x14ac:dyDescent="0.3">
      <c r="A7" s="5" t="s">
        <v>62</v>
      </c>
      <c r="B7" s="4">
        <v>2701</v>
      </c>
      <c r="C7" s="4">
        <v>3.55</v>
      </c>
      <c r="D7" s="4">
        <v>3.55</v>
      </c>
      <c r="E7" s="4"/>
      <c r="F7" s="4"/>
      <c r="G7" s="4"/>
      <c r="H7" s="4">
        <v>2701</v>
      </c>
      <c r="I7" s="4">
        <v>3.55</v>
      </c>
      <c r="J7" s="4">
        <v>3.55</v>
      </c>
    </row>
    <row r="8" spans="1:10" x14ac:dyDescent="0.3">
      <c r="A8" s="6" t="s">
        <v>74</v>
      </c>
      <c r="B8" s="4">
        <v>729</v>
      </c>
      <c r="C8" s="4">
        <v>0.9</v>
      </c>
      <c r="D8" s="4">
        <v>0.9</v>
      </c>
      <c r="E8" s="4"/>
      <c r="F8" s="4"/>
      <c r="G8" s="4"/>
      <c r="H8" s="4">
        <v>729</v>
      </c>
      <c r="I8" s="4">
        <v>0.9</v>
      </c>
      <c r="J8" s="4">
        <v>0.9</v>
      </c>
    </row>
    <row r="9" spans="1:10" x14ac:dyDescent="0.3">
      <c r="A9" s="6" t="s">
        <v>75</v>
      </c>
      <c r="B9" s="4">
        <v>343</v>
      </c>
      <c r="C9" s="4">
        <v>1</v>
      </c>
      <c r="D9" s="4">
        <v>1</v>
      </c>
      <c r="E9" s="4"/>
      <c r="F9" s="4"/>
      <c r="G9" s="4"/>
      <c r="H9" s="4">
        <v>343</v>
      </c>
      <c r="I9" s="4">
        <v>1</v>
      </c>
      <c r="J9" s="4">
        <v>1</v>
      </c>
    </row>
    <row r="10" spans="1:10" x14ac:dyDescent="0.3">
      <c r="A10" s="6" t="s">
        <v>76</v>
      </c>
      <c r="B10" s="4">
        <v>838</v>
      </c>
      <c r="C10" s="4">
        <v>0.9</v>
      </c>
      <c r="D10" s="4">
        <v>0.9</v>
      </c>
      <c r="E10" s="4"/>
      <c r="F10" s="4"/>
      <c r="G10" s="4"/>
      <c r="H10" s="4">
        <v>838</v>
      </c>
      <c r="I10" s="4">
        <v>0.9</v>
      </c>
      <c r="J10" s="4">
        <v>0.9</v>
      </c>
    </row>
    <row r="11" spans="1:10" x14ac:dyDescent="0.3">
      <c r="A11" s="6" t="s">
        <v>77</v>
      </c>
      <c r="B11" s="4">
        <v>791</v>
      </c>
      <c r="C11" s="4">
        <v>0.75</v>
      </c>
      <c r="D11" s="4">
        <v>0.75</v>
      </c>
      <c r="E11" s="4"/>
      <c r="F11" s="4"/>
      <c r="G11" s="4"/>
      <c r="H11" s="4">
        <v>791</v>
      </c>
      <c r="I11" s="4">
        <v>0.75</v>
      </c>
      <c r="J11" s="4">
        <v>0.75</v>
      </c>
    </row>
    <row r="12" spans="1:10" x14ac:dyDescent="0.3">
      <c r="A12" s="5" t="s">
        <v>78</v>
      </c>
      <c r="B12" s="4">
        <v>3806</v>
      </c>
      <c r="C12" s="4">
        <v>1.8</v>
      </c>
      <c r="D12" s="4">
        <v>2.11</v>
      </c>
      <c r="E12" s="4"/>
      <c r="F12" s="4"/>
      <c r="G12" s="4"/>
      <c r="H12" s="4">
        <v>3806</v>
      </c>
      <c r="I12" s="4">
        <v>1.8</v>
      </c>
      <c r="J12" s="4">
        <v>2.11</v>
      </c>
    </row>
    <row r="13" spans="1:10" x14ac:dyDescent="0.3">
      <c r="A13" s="6" t="s">
        <v>79</v>
      </c>
      <c r="B13" s="4">
        <v>638</v>
      </c>
      <c r="C13" s="4">
        <v>0.9</v>
      </c>
      <c r="D13" s="4">
        <v>0.9</v>
      </c>
      <c r="E13" s="4"/>
      <c r="F13" s="4"/>
      <c r="G13" s="4"/>
      <c r="H13" s="4">
        <v>638</v>
      </c>
      <c r="I13" s="4">
        <v>0.9</v>
      </c>
      <c r="J13" s="4">
        <v>0.9</v>
      </c>
    </row>
    <row r="14" spans="1:10" x14ac:dyDescent="0.3">
      <c r="A14" s="6" t="s">
        <v>80</v>
      </c>
      <c r="B14" s="4">
        <v>1182</v>
      </c>
      <c r="C14" s="4">
        <v>0.9</v>
      </c>
      <c r="D14" s="4">
        <v>1</v>
      </c>
      <c r="E14" s="4"/>
      <c r="F14" s="4"/>
      <c r="G14" s="4"/>
      <c r="H14" s="4">
        <v>1182</v>
      </c>
      <c r="I14" s="4">
        <v>0.9</v>
      </c>
      <c r="J14" s="4">
        <v>1</v>
      </c>
    </row>
    <row r="15" spans="1:10" x14ac:dyDescent="0.3">
      <c r="A15" s="6" t="s">
        <v>81</v>
      </c>
      <c r="B15" s="4">
        <v>858</v>
      </c>
      <c r="C15" s="4">
        <v>0</v>
      </c>
      <c r="D15" s="4">
        <v>0</v>
      </c>
      <c r="E15" s="4"/>
      <c r="F15" s="4"/>
      <c r="G15" s="4"/>
      <c r="H15" s="4">
        <v>858</v>
      </c>
      <c r="I15" s="4">
        <v>0</v>
      </c>
      <c r="J15" s="4">
        <v>0</v>
      </c>
    </row>
    <row r="16" spans="1:10" x14ac:dyDescent="0.3">
      <c r="A16" s="6" t="s">
        <v>82</v>
      </c>
      <c r="B16" s="4">
        <v>1128</v>
      </c>
      <c r="C16" s="4">
        <v>0</v>
      </c>
      <c r="D16" s="4">
        <v>0.21</v>
      </c>
      <c r="E16" s="4"/>
      <c r="F16" s="4"/>
      <c r="G16" s="4"/>
      <c r="H16" s="4">
        <v>1128</v>
      </c>
      <c r="I16" s="4">
        <v>0</v>
      </c>
      <c r="J16" s="4">
        <v>0.21</v>
      </c>
    </row>
    <row r="17" spans="1:10" x14ac:dyDescent="0.3">
      <c r="A17" s="3" t="s">
        <v>13</v>
      </c>
      <c r="B17" s="4"/>
      <c r="C17" s="4"/>
      <c r="D17" s="4"/>
      <c r="E17" s="4">
        <v>17338</v>
      </c>
      <c r="F17" s="4">
        <v>8.09</v>
      </c>
      <c r="G17" s="4">
        <v>8.34</v>
      </c>
      <c r="H17" s="4">
        <v>17338</v>
      </c>
      <c r="I17" s="4">
        <v>8.09</v>
      </c>
      <c r="J17" s="4">
        <v>8.34</v>
      </c>
    </row>
    <row r="18" spans="1:10" x14ac:dyDescent="0.3">
      <c r="A18" s="5" t="s">
        <v>39</v>
      </c>
      <c r="B18" s="4"/>
      <c r="C18" s="4"/>
      <c r="D18" s="4"/>
      <c r="E18" s="4">
        <v>1637</v>
      </c>
      <c r="F18" s="4">
        <v>3</v>
      </c>
      <c r="G18" s="4">
        <v>3</v>
      </c>
      <c r="H18" s="4">
        <v>1637</v>
      </c>
      <c r="I18" s="4">
        <v>3</v>
      </c>
      <c r="J18" s="4">
        <v>3</v>
      </c>
    </row>
    <row r="19" spans="1:10" x14ac:dyDescent="0.3">
      <c r="A19" s="6" t="s">
        <v>42</v>
      </c>
      <c r="B19" s="4"/>
      <c r="C19" s="4"/>
      <c r="D19" s="4"/>
      <c r="E19" s="4">
        <v>901</v>
      </c>
      <c r="F19" s="4">
        <v>1</v>
      </c>
      <c r="G19" s="4">
        <v>1</v>
      </c>
      <c r="H19" s="4">
        <v>901</v>
      </c>
      <c r="I19" s="4">
        <v>1</v>
      </c>
      <c r="J19" s="4">
        <v>1</v>
      </c>
    </row>
    <row r="20" spans="1:10" x14ac:dyDescent="0.3">
      <c r="A20" s="6" t="s">
        <v>43</v>
      </c>
      <c r="B20" s="4"/>
      <c r="C20" s="4"/>
      <c r="D20" s="4"/>
      <c r="E20" s="4">
        <v>366</v>
      </c>
      <c r="F20" s="4">
        <v>1</v>
      </c>
      <c r="G20" s="4">
        <v>1</v>
      </c>
      <c r="H20" s="4">
        <v>366</v>
      </c>
      <c r="I20" s="4">
        <v>1</v>
      </c>
      <c r="J20" s="4">
        <v>1</v>
      </c>
    </row>
    <row r="21" spans="1:10" x14ac:dyDescent="0.3">
      <c r="A21" s="6" t="s">
        <v>44</v>
      </c>
      <c r="B21" s="4"/>
      <c r="C21" s="4"/>
      <c r="D21" s="4"/>
      <c r="E21" s="4">
        <v>370</v>
      </c>
      <c r="F21" s="4">
        <v>1</v>
      </c>
      <c r="G21" s="4">
        <v>1</v>
      </c>
      <c r="H21" s="4">
        <v>370</v>
      </c>
      <c r="I21" s="4">
        <v>1</v>
      </c>
      <c r="J21" s="4">
        <v>1</v>
      </c>
    </row>
    <row r="22" spans="1:10" x14ac:dyDescent="0.3">
      <c r="A22" s="5" t="s">
        <v>54</v>
      </c>
      <c r="B22" s="4"/>
      <c r="C22" s="4"/>
      <c r="D22" s="4"/>
      <c r="E22" s="4">
        <v>7702</v>
      </c>
      <c r="F22" s="4">
        <v>2.79</v>
      </c>
      <c r="G22" s="4">
        <v>2.79</v>
      </c>
      <c r="H22" s="4">
        <v>7702</v>
      </c>
      <c r="I22" s="4">
        <v>2.79</v>
      </c>
      <c r="J22" s="4">
        <v>2.79</v>
      </c>
    </row>
    <row r="23" spans="1:10" x14ac:dyDescent="0.3">
      <c r="A23" s="6" t="s">
        <v>55</v>
      </c>
      <c r="B23" s="4"/>
      <c r="C23" s="4"/>
      <c r="D23" s="4"/>
      <c r="E23" s="4">
        <v>1605</v>
      </c>
      <c r="F23" s="4">
        <v>0.9</v>
      </c>
      <c r="G23" s="4">
        <v>0.9</v>
      </c>
      <c r="H23" s="4">
        <v>1605</v>
      </c>
      <c r="I23" s="4">
        <v>0.9</v>
      </c>
      <c r="J23" s="4">
        <v>0.9</v>
      </c>
    </row>
    <row r="24" spans="1:10" x14ac:dyDescent="0.3">
      <c r="A24" s="6" t="s">
        <v>56</v>
      </c>
      <c r="B24" s="4"/>
      <c r="C24" s="4"/>
      <c r="D24" s="4"/>
      <c r="E24" s="4">
        <v>1265</v>
      </c>
      <c r="F24" s="4">
        <v>0.9</v>
      </c>
      <c r="G24" s="4">
        <v>0.9</v>
      </c>
      <c r="H24" s="4">
        <v>1265</v>
      </c>
      <c r="I24" s="4">
        <v>0.9</v>
      </c>
      <c r="J24" s="4">
        <v>0.9</v>
      </c>
    </row>
    <row r="25" spans="1:10" x14ac:dyDescent="0.3">
      <c r="A25" s="6" t="s">
        <v>57</v>
      </c>
      <c r="B25" s="4"/>
      <c r="C25" s="4"/>
      <c r="D25" s="4"/>
      <c r="E25" s="4">
        <v>1687</v>
      </c>
      <c r="F25" s="4">
        <v>0.9</v>
      </c>
      <c r="G25" s="4">
        <v>0.9</v>
      </c>
      <c r="H25" s="4">
        <v>1687</v>
      </c>
      <c r="I25" s="4">
        <v>0.9</v>
      </c>
      <c r="J25" s="4">
        <v>0.9</v>
      </c>
    </row>
    <row r="26" spans="1:10" x14ac:dyDescent="0.3">
      <c r="A26" s="6" t="s">
        <v>58</v>
      </c>
      <c r="B26" s="4"/>
      <c r="C26" s="4"/>
      <c r="D26" s="4"/>
      <c r="E26" s="4">
        <v>1372</v>
      </c>
      <c r="F26" s="4">
        <v>0</v>
      </c>
      <c r="G26" s="4">
        <v>0</v>
      </c>
      <c r="H26" s="4">
        <v>1372</v>
      </c>
      <c r="I26" s="4">
        <v>0</v>
      </c>
      <c r="J26" s="4">
        <v>0</v>
      </c>
    </row>
    <row r="27" spans="1:10" x14ac:dyDescent="0.3">
      <c r="A27" s="6" t="s">
        <v>59</v>
      </c>
      <c r="B27" s="4"/>
      <c r="C27" s="4"/>
      <c r="D27" s="4"/>
      <c r="E27" s="4">
        <v>1773</v>
      </c>
      <c r="F27" s="4">
        <v>0.09</v>
      </c>
      <c r="G27" s="4">
        <v>0.09</v>
      </c>
      <c r="H27" s="4">
        <v>1773</v>
      </c>
      <c r="I27" s="4">
        <v>0.09</v>
      </c>
      <c r="J27" s="4">
        <v>0.09</v>
      </c>
    </row>
    <row r="28" spans="1:10" x14ac:dyDescent="0.3">
      <c r="A28" s="5" t="s">
        <v>62</v>
      </c>
      <c r="B28" s="4"/>
      <c r="C28" s="4"/>
      <c r="D28" s="4"/>
      <c r="E28" s="4">
        <v>7999</v>
      </c>
      <c r="F28" s="4">
        <v>2.2999999999999998</v>
      </c>
      <c r="G28" s="4">
        <v>2.5499999999999998</v>
      </c>
      <c r="H28" s="4">
        <v>7999</v>
      </c>
      <c r="I28" s="4">
        <v>2.2999999999999998</v>
      </c>
      <c r="J28" s="4">
        <v>2.5499999999999998</v>
      </c>
    </row>
    <row r="29" spans="1:10" x14ac:dyDescent="0.3">
      <c r="A29" s="6" t="s">
        <v>64</v>
      </c>
      <c r="B29" s="4"/>
      <c r="C29" s="4"/>
      <c r="D29" s="4"/>
      <c r="E29" s="4">
        <v>1446</v>
      </c>
      <c r="F29" s="4">
        <v>0.9</v>
      </c>
      <c r="G29" s="4">
        <v>0.9</v>
      </c>
      <c r="H29" s="4">
        <v>1446</v>
      </c>
      <c r="I29" s="4">
        <v>0.9</v>
      </c>
      <c r="J29" s="4">
        <v>0.9</v>
      </c>
    </row>
    <row r="30" spans="1:10" x14ac:dyDescent="0.3">
      <c r="A30" s="6" t="s">
        <v>65</v>
      </c>
      <c r="B30" s="4"/>
      <c r="C30" s="4"/>
      <c r="D30" s="4"/>
      <c r="E30" s="4">
        <v>1280</v>
      </c>
      <c r="F30" s="4">
        <v>0.9</v>
      </c>
      <c r="G30" s="4">
        <v>0.9</v>
      </c>
      <c r="H30" s="4">
        <v>1280</v>
      </c>
      <c r="I30" s="4">
        <v>0.9</v>
      </c>
      <c r="J30" s="4">
        <v>0.9</v>
      </c>
    </row>
    <row r="31" spans="1:10" x14ac:dyDescent="0.3">
      <c r="A31" s="6" t="s">
        <v>66</v>
      </c>
      <c r="B31" s="4"/>
      <c r="C31" s="4"/>
      <c r="D31" s="4"/>
      <c r="E31" s="4">
        <v>1925</v>
      </c>
      <c r="F31" s="4">
        <v>0.5</v>
      </c>
      <c r="G31" s="4">
        <v>0.75</v>
      </c>
      <c r="H31" s="4">
        <v>1925</v>
      </c>
      <c r="I31" s="4">
        <v>0.5</v>
      </c>
      <c r="J31" s="4">
        <v>0.75</v>
      </c>
    </row>
    <row r="32" spans="1:10" x14ac:dyDescent="0.3">
      <c r="A32" s="6" t="s">
        <v>67</v>
      </c>
      <c r="B32" s="4"/>
      <c r="C32" s="4"/>
      <c r="D32" s="4"/>
      <c r="E32" s="4">
        <v>1314</v>
      </c>
      <c r="F32" s="4">
        <v>0</v>
      </c>
      <c r="G32" s="4">
        <v>0</v>
      </c>
      <c r="H32" s="4">
        <v>1314</v>
      </c>
      <c r="I32" s="4">
        <v>0</v>
      </c>
      <c r="J32" s="4">
        <v>0</v>
      </c>
    </row>
    <row r="33" spans="1:10" x14ac:dyDescent="0.3">
      <c r="A33" s="6" t="s">
        <v>68</v>
      </c>
      <c r="B33" s="4"/>
      <c r="C33" s="4"/>
      <c r="D33" s="4"/>
      <c r="E33" s="4">
        <v>2034</v>
      </c>
      <c r="F33" s="4">
        <v>0</v>
      </c>
      <c r="G33" s="4">
        <v>0</v>
      </c>
      <c r="H33" s="4">
        <v>2034</v>
      </c>
      <c r="I33" s="4">
        <v>0</v>
      </c>
      <c r="J33" s="4">
        <v>0</v>
      </c>
    </row>
    <row r="34" spans="1:10" x14ac:dyDescent="0.3">
      <c r="A34" s="3" t="s">
        <v>84</v>
      </c>
      <c r="B34" s="4">
        <v>6507</v>
      </c>
      <c r="C34" s="4">
        <v>5.3500000000000005</v>
      </c>
      <c r="D34" s="4">
        <v>5.66</v>
      </c>
      <c r="E34" s="4">
        <v>17338</v>
      </c>
      <c r="F34" s="4">
        <v>8.09</v>
      </c>
      <c r="G34" s="4">
        <v>8.34</v>
      </c>
      <c r="H34" s="4">
        <v>23845</v>
      </c>
      <c r="I34" s="4">
        <v>13.440000000000003</v>
      </c>
      <c r="J34" s="4">
        <v>14.000000000000002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C035-792A-4149-9784-6EB3C5C87DC3}">
  <dimension ref="A1:G22"/>
  <sheetViews>
    <sheetView workbookViewId="0">
      <selection sqref="A1:G22"/>
    </sheetView>
  </sheetViews>
  <sheetFormatPr defaultRowHeight="14.4" x14ac:dyDescent="0.3"/>
  <cols>
    <col min="4" max="4" width="13.21875" bestFit="1" customWidth="1"/>
    <col min="5" max="5" width="13.5546875" bestFit="1" customWidth="1"/>
    <col min="6" max="7" width="15.5546875" bestFit="1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90</v>
      </c>
      <c r="E1" t="s">
        <v>91</v>
      </c>
      <c r="F1" t="s">
        <v>92</v>
      </c>
      <c r="G1" t="s">
        <v>97</v>
      </c>
    </row>
    <row r="2" spans="1:7" x14ac:dyDescent="0.3">
      <c r="A2" t="s">
        <v>69</v>
      </c>
      <c r="B2" t="s">
        <v>62</v>
      </c>
      <c r="C2">
        <v>4</v>
      </c>
      <c r="D2" t="str">
        <f>pt_pivot!A8</f>
        <v>Zone10</v>
      </c>
      <c r="E2">
        <f>GETPIVOTDATA("Sum of area_m2",pt_pivot!B3,"Tower","T3","Level","L3","zone","Zone10","SOW",4)</f>
        <v>729</v>
      </c>
      <c r="F2" s="7">
        <v>0.9</v>
      </c>
      <c r="G2" s="7">
        <v>0.9</v>
      </c>
    </row>
    <row r="3" spans="1:7" x14ac:dyDescent="0.3">
      <c r="A3" t="s">
        <v>69</v>
      </c>
      <c r="B3" t="s">
        <v>62</v>
      </c>
      <c r="C3">
        <v>4</v>
      </c>
      <c r="D3" t="str">
        <f>pt_pivot!A9</f>
        <v>Zone11</v>
      </c>
      <c r="E3">
        <f>GETPIVOTDATA("Sum of area_m2",pt_pivot!$A$3,"Tower","T3","Level","L3","zone","Zone11","SOW",4)</f>
        <v>343</v>
      </c>
      <c r="F3" s="7">
        <v>1</v>
      </c>
      <c r="G3" s="7">
        <v>1</v>
      </c>
    </row>
    <row r="4" spans="1:7" x14ac:dyDescent="0.3">
      <c r="A4" t="s">
        <v>69</v>
      </c>
      <c r="B4" t="s">
        <v>62</v>
      </c>
      <c r="C4">
        <v>4</v>
      </c>
      <c r="D4" t="str">
        <f>pt_pivot!A10</f>
        <v>Zone12</v>
      </c>
      <c r="E4">
        <f>GETPIVOTDATA("Sum of area_m2",pt_pivot!$A$3,"Tower","T3","Level","L3","zone","Zone12","SOW",4)</f>
        <v>838</v>
      </c>
      <c r="F4" s="7">
        <v>0.9</v>
      </c>
      <c r="G4" s="7">
        <v>0.9</v>
      </c>
    </row>
    <row r="5" spans="1:7" x14ac:dyDescent="0.3">
      <c r="A5" t="s">
        <v>69</v>
      </c>
      <c r="B5" t="s">
        <v>62</v>
      </c>
      <c r="C5">
        <v>4</v>
      </c>
      <c r="D5" t="str">
        <f>pt_pivot!A11</f>
        <v>Zone14</v>
      </c>
      <c r="E5">
        <f>GETPIVOTDATA("Sum of area_m2",pt_pivot!$A$3,"Tower","T3","Level","L3","zone","Zone14","SOW",4)</f>
        <v>791</v>
      </c>
      <c r="F5" s="7">
        <v>0.75</v>
      </c>
      <c r="G5" s="7">
        <v>0.75</v>
      </c>
    </row>
    <row r="6" spans="1:7" x14ac:dyDescent="0.3">
      <c r="A6" t="s">
        <v>69</v>
      </c>
      <c r="B6" t="s">
        <v>78</v>
      </c>
      <c r="C6">
        <v>4</v>
      </c>
      <c r="D6" t="str">
        <f>pt_pivot!A13</f>
        <v>Zone15</v>
      </c>
      <c r="E6">
        <f>GETPIVOTDATA("Sum of area_m2",pt_pivot!$A$3,"Tower","T3","Level","L4","zone","Zone15","SOW",4)</f>
        <v>638</v>
      </c>
      <c r="F6" s="7">
        <v>0.9</v>
      </c>
      <c r="G6" s="7">
        <v>0.9</v>
      </c>
    </row>
    <row r="7" spans="1:7" x14ac:dyDescent="0.3">
      <c r="A7" t="s">
        <v>69</v>
      </c>
      <c r="B7" t="s">
        <v>78</v>
      </c>
      <c r="C7">
        <v>4</v>
      </c>
      <c r="D7" t="str">
        <f>pt_pivot!A14</f>
        <v>Zone16</v>
      </c>
      <c r="E7">
        <f>GETPIVOTDATA("Sum of area_m2",pt_pivot!$A$3,"Tower","T3","Level","L4","zone","Zone16","SOW",4)</f>
        <v>1182</v>
      </c>
      <c r="F7" s="7">
        <v>0.9</v>
      </c>
      <c r="G7" s="7">
        <v>1</v>
      </c>
    </row>
    <row r="8" spans="1:7" x14ac:dyDescent="0.3">
      <c r="A8" t="s">
        <v>69</v>
      </c>
      <c r="B8" t="s">
        <v>78</v>
      </c>
      <c r="C8">
        <v>4</v>
      </c>
      <c r="D8" t="str">
        <f>pt_pivot!A15</f>
        <v>Zone17</v>
      </c>
      <c r="E8">
        <f>GETPIVOTDATA("Sum of area_m2",pt_pivot!$A$3,"Tower","T3","Level","L4","zone","Zone17","SOW",4)</f>
        <v>858</v>
      </c>
      <c r="F8" s="7">
        <v>0</v>
      </c>
      <c r="G8" s="7">
        <v>0</v>
      </c>
    </row>
    <row r="9" spans="1:7" x14ac:dyDescent="0.3">
      <c r="A9" t="s">
        <v>69</v>
      </c>
      <c r="B9" t="s">
        <v>78</v>
      </c>
      <c r="C9">
        <v>4</v>
      </c>
      <c r="D9" t="str">
        <f>pt_pivot!A16</f>
        <v>Zone19</v>
      </c>
      <c r="E9">
        <f>GETPIVOTDATA("Sum of area_m2",pt_pivot!$A$3,"Tower","T3","Level","L4","zone","Zone19","SOW",4)</f>
        <v>1128</v>
      </c>
      <c r="F9" s="7">
        <v>0</v>
      </c>
      <c r="G9" s="7">
        <v>0.21</v>
      </c>
    </row>
    <row r="10" spans="1:7" x14ac:dyDescent="0.3">
      <c r="A10" t="s">
        <v>13</v>
      </c>
      <c r="B10" t="s">
        <v>39</v>
      </c>
      <c r="C10">
        <v>5</v>
      </c>
      <c r="D10" t="str">
        <f>pt_pivot!A19</f>
        <v>Zone 16</v>
      </c>
      <c r="E10" s="4">
        <v>901</v>
      </c>
      <c r="F10" s="8">
        <v>1</v>
      </c>
      <c r="G10" s="8">
        <v>1</v>
      </c>
    </row>
    <row r="11" spans="1:7" x14ac:dyDescent="0.3">
      <c r="A11" t="s">
        <v>13</v>
      </c>
      <c r="B11" t="s">
        <v>39</v>
      </c>
      <c r="C11">
        <v>5</v>
      </c>
      <c r="D11" t="str">
        <f>pt_pivot!A20</f>
        <v>Zone 17</v>
      </c>
      <c r="E11" s="4">
        <v>366</v>
      </c>
      <c r="F11" s="8">
        <v>1</v>
      </c>
      <c r="G11" s="8">
        <v>1</v>
      </c>
    </row>
    <row r="12" spans="1:7" x14ac:dyDescent="0.3">
      <c r="A12" t="s">
        <v>13</v>
      </c>
      <c r="B12" t="s">
        <v>39</v>
      </c>
      <c r="C12">
        <v>5</v>
      </c>
      <c r="D12" t="str">
        <f>pt_pivot!A21</f>
        <v>Zone 18</v>
      </c>
      <c r="E12" s="4">
        <v>370</v>
      </c>
      <c r="F12" s="8">
        <v>1</v>
      </c>
      <c r="G12" s="8">
        <v>1</v>
      </c>
    </row>
    <row r="13" spans="1:7" x14ac:dyDescent="0.3">
      <c r="A13" t="s">
        <v>13</v>
      </c>
      <c r="B13" t="s">
        <v>54</v>
      </c>
      <c r="C13">
        <v>6</v>
      </c>
      <c r="D13" t="str">
        <f>pt_pivot!A23</f>
        <v>Zone 22</v>
      </c>
      <c r="E13" s="4">
        <v>1605</v>
      </c>
      <c r="F13" s="8">
        <v>0.9</v>
      </c>
      <c r="G13" s="8">
        <v>0.9</v>
      </c>
    </row>
    <row r="14" spans="1:7" x14ac:dyDescent="0.3">
      <c r="A14" t="s">
        <v>13</v>
      </c>
      <c r="B14" t="s">
        <v>54</v>
      </c>
      <c r="C14">
        <v>6</v>
      </c>
      <c r="D14" t="str">
        <f>pt_pivot!A24</f>
        <v>Zone 23</v>
      </c>
      <c r="E14" s="4">
        <v>1265</v>
      </c>
      <c r="F14" s="8">
        <v>0.9</v>
      </c>
      <c r="G14" s="8">
        <v>0.9</v>
      </c>
    </row>
    <row r="15" spans="1:7" x14ac:dyDescent="0.3">
      <c r="A15" t="s">
        <v>13</v>
      </c>
      <c r="B15" t="s">
        <v>54</v>
      </c>
      <c r="C15">
        <v>6</v>
      </c>
      <c r="D15" t="str">
        <f>pt_pivot!A25</f>
        <v>Zone 24</v>
      </c>
      <c r="E15" s="4">
        <v>1687</v>
      </c>
      <c r="F15" s="8">
        <v>0.9</v>
      </c>
      <c r="G15" s="8">
        <v>0.9</v>
      </c>
    </row>
    <row r="16" spans="1:7" x14ac:dyDescent="0.3">
      <c r="A16" t="s">
        <v>13</v>
      </c>
      <c r="B16" t="s">
        <v>54</v>
      </c>
      <c r="C16">
        <v>6</v>
      </c>
      <c r="D16" t="str">
        <f>pt_pivot!A26</f>
        <v>Zone 25</v>
      </c>
      <c r="E16" s="4">
        <v>1372</v>
      </c>
      <c r="F16" s="8">
        <v>0</v>
      </c>
      <c r="G16" s="8">
        <v>0</v>
      </c>
    </row>
    <row r="17" spans="1:7" x14ac:dyDescent="0.3">
      <c r="A17" t="s">
        <v>13</v>
      </c>
      <c r="B17" t="s">
        <v>54</v>
      </c>
      <c r="C17">
        <v>6</v>
      </c>
      <c r="D17" t="str">
        <f>pt_pivot!A27</f>
        <v>Zone 26</v>
      </c>
      <c r="E17" s="4">
        <v>1773</v>
      </c>
      <c r="F17" s="8">
        <v>0.09</v>
      </c>
      <c r="G17" s="8">
        <v>0.09</v>
      </c>
    </row>
    <row r="18" spans="1:7" x14ac:dyDescent="0.3">
      <c r="A18" t="s">
        <v>13</v>
      </c>
      <c r="B18" t="s">
        <v>62</v>
      </c>
      <c r="C18">
        <v>6</v>
      </c>
      <c r="D18" t="str">
        <f>pt_pivot!A29</f>
        <v>Zone 30</v>
      </c>
      <c r="E18" s="4">
        <v>1446</v>
      </c>
      <c r="F18" s="8">
        <v>0.9</v>
      </c>
      <c r="G18" s="8">
        <v>0.9</v>
      </c>
    </row>
    <row r="19" spans="1:7" x14ac:dyDescent="0.3">
      <c r="A19" t="s">
        <v>13</v>
      </c>
      <c r="B19" t="s">
        <v>62</v>
      </c>
      <c r="C19">
        <v>6</v>
      </c>
      <c r="D19" t="str">
        <f>pt_pivot!A30</f>
        <v>Zone 31</v>
      </c>
      <c r="E19" s="4">
        <v>1280</v>
      </c>
      <c r="F19" s="8">
        <v>0.9</v>
      </c>
      <c r="G19" s="8">
        <v>0.9</v>
      </c>
    </row>
    <row r="20" spans="1:7" x14ac:dyDescent="0.3">
      <c r="A20" t="s">
        <v>13</v>
      </c>
      <c r="B20" t="s">
        <v>62</v>
      </c>
      <c r="C20">
        <v>6</v>
      </c>
      <c r="D20" t="str">
        <f>pt_pivot!A31</f>
        <v>Zone 32</v>
      </c>
      <c r="E20" s="4">
        <v>1925</v>
      </c>
      <c r="F20" s="8">
        <v>0.5</v>
      </c>
      <c r="G20" s="8">
        <v>0.75</v>
      </c>
    </row>
    <row r="21" spans="1:7" x14ac:dyDescent="0.3">
      <c r="A21" t="s">
        <v>13</v>
      </c>
      <c r="B21" t="s">
        <v>62</v>
      </c>
      <c r="C21">
        <v>6</v>
      </c>
      <c r="D21" t="str">
        <f>pt_pivot!A32</f>
        <v>Zone 33</v>
      </c>
      <c r="E21" s="4">
        <v>1314</v>
      </c>
      <c r="F21" s="8">
        <v>0</v>
      </c>
      <c r="G21" s="8">
        <v>0</v>
      </c>
    </row>
    <row r="22" spans="1:7" x14ac:dyDescent="0.3">
      <c r="A22" t="s">
        <v>13</v>
      </c>
      <c r="B22" t="s">
        <v>62</v>
      </c>
      <c r="C22">
        <v>6</v>
      </c>
      <c r="D22" t="str">
        <f>pt_pivot!A33</f>
        <v>Zone 34</v>
      </c>
      <c r="E22" s="4">
        <v>2034</v>
      </c>
      <c r="F22" s="8">
        <v>0</v>
      </c>
      <c r="G22" s="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7112-FF80-420B-89EF-F11F3062EF50}">
  <dimension ref="A1:G22"/>
  <sheetViews>
    <sheetView tabSelected="1" workbookViewId="0">
      <selection activeCell="I12" sqref="I12"/>
    </sheetView>
  </sheetViews>
  <sheetFormatPr defaultRowHeight="14.4" x14ac:dyDescent="0.3"/>
  <cols>
    <col min="5" max="5" width="13.5546875" bestFit="1" customWidth="1"/>
    <col min="6" max="7" width="15.5546875" bestFit="1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90</v>
      </c>
      <c r="E1" t="s">
        <v>91</v>
      </c>
      <c r="F1" t="s">
        <v>92</v>
      </c>
      <c r="G1" t="s">
        <v>97</v>
      </c>
    </row>
    <row r="2" spans="1:7" x14ac:dyDescent="0.3">
      <c r="A2" t="s">
        <v>69</v>
      </c>
      <c r="B2" t="s">
        <v>62</v>
      </c>
      <c r="C2">
        <v>4</v>
      </c>
      <c r="D2" t="str">
        <f>pt_pivot!A8</f>
        <v>Zone10</v>
      </c>
      <c r="E2">
        <f>SUM(summary!E2:E5)</f>
        <v>2701</v>
      </c>
      <c r="F2" s="7">
        <f>AVERAGE(summary!F2:F5)</f>
        <v>0.88749999999999996</v>
      </c>
      <c r="G2" s="7">
        <f>AVERAGE(summary!G2:G5)</f>
        <v>0.88749999999999996</v>
      </c>
    </row>
    <row r="3" spans="1:7" customFormat="1" x14ac:dyDescent="0.3">
      <c r="A3" t="s">
        <v>69</v>
      </c>
      <c r="B3" t="s">
        <v>78</v>
      </c>
      <c r="C3">
        <v>4</v>
      </c>
      <c r="D3" t="str">
        <f>pt_pivot!A13</f>
        <v>Zone15</v>
      </c>
      <c r="E3">
        <f>SUM(summary!E6:E9)</f>
        <v>3806</v>
      </c>
      <c r="F3" s="7">
        <f>AVERAGE(summary!F6:F9)</f>
        <v>0.45</v>
      </c>
      <c r="G3" s="7">
        <f>AVERAGE(summary!G6:G9)</f>
        <v>0.52749999999999997</v>
      </c>
    </row>
    <row r="4" spans="1:7" customFormat="1" x14ac:dyDescent="0.3">
      <c r="A4" t="s">
        <v>13</v>
      </c>
      <c r="B4" t="s">
        <v>39</v>
      </c>
      <c r="C4">
        <v>5</v>
      </c>
      <c r="D4" t="str">
        <f>pt_pivot!A19</f>
        <v>Zone 16</v>
      </c>
      <c r="E4" s="4">
        <f>SUM(summary!E10:E12)</f>
        <v>1637</v>
      </c>
      <c r="F4" s="8">
        <f>AVERAGE(summary!F10:F12)</f>
        <v>1</v>
      </c>
      <c r="G4" s="8">
        <f>AVERAGE(summary!G10:G12)</f>
        <v>1</v>
      </c>
    </row>
    <row r="5" spans="1:7" customFormat="1" x14ac:dyDescent="0.3">
      <c r="A5" t="s">
        <v>13</v>
      </c>
      <c r="B5" t="s">
        <v>54</v>
      </c>
      <c r="C5">
        <v>6</v>
      </c>
      <c r="D5" t="str">
        <f>pt_pivot!A23</f>
        <v>Zone 22</v>
      </c>
      <c r="E5" s="4">
        <f>SUM(summary!E13:E17)</f>
        <v>7702</v>
      </c>
      <c r="F5" s="8">
        <f>AVERAGE(summary!F13:F17)</f>
        <v>0.55800000000000005</v>
      </c>
      <c r="G5" s="8">
        <f>AVERAGE(summary!G13:G17)</f>
        <v>0.55800000000000005</v>
      </c>
    </row>
    <row r="6" spans="1:7" customFormat="1" x14ac:dyDescent="0.3">
      <c r="A6" t="s">
        <v>13</v>
      </c>
      <c r="B6" t="s">
        <v>62</v>
      </c>
      <c r="C6">
        <v>6</v>
      </c>
      <c r="D6" t="str">
        <f>pt_pivot!A29</f>
        <v>Zone 30</v>
      </c>
      <c r="E6" s="4">
        <f>SUM(summary!E18:E22)</f>
        <v>7999</v>
      </c>
      <c r="F6" s="8">
        <f>AVERAGE(summary!F18:F22)</f>
        <v>0.45999999999999996</v>
      </c>
      <c r="G6" s="8">
        <f>AVERAGE(summary!G18:G22)</f>
        <v>0.51</v>
      </c>
    </row>
    <row r="7" spans="1:7" customFormat="1" x14ac:dyDescent="0.3"/>
    <row r="8" spans="1:7" customFormat="1" x14ac:dyDescent="0.3"/>
    <row r="9" spans="1:7" customFormat="1" x14ac:dyDescent="0.3"/>
    <row r="10" spans="1:7" customFormat="1" x14ac:dyDescent="0.3"/>
    <row r="11" spans="1:7" customFormat="1" x14ac:dyDescent="0.3"/>
    <row r="12" spans="1:7" customFormat="1" x14ac:dyDescent="0.3"/>
    <row r="13" spans="1:7" customFormat="1" x14ac:dyDescent="0.3"/>
    <row r="14" spans="1:7" customFormat="1" x14ac:dyDescent="0.3"/>
    <row r="15" spans="1:7" customFormat="1" x14ac:dyDescent="0.3"/>
    <row r="16" spans="1:7" customFormat="1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monthly_progress</vt:lpstr>
      <vt:lpstr>pt_pivot</vt:lpstr>
      <vt:lpstr>summary</vt:lpstr>
      <vt:lpstr>summary_level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Jainal Abidin Bosiran</dc:creator>
  <cp:lastModifiedBy>Jainal Abidin Bosiran</cp:lastModifiedBy>
  <dcterms:created xsi:type="dcterms:W3CDTF">2025-11-27T05:41:46Z</dcterms:created>
  <dcterms:modified xsi:type="dcterms:W3CDTF">2025-11-27T05:58:45Z</dcterms:modified>
</cp:coreProperties>
</file>